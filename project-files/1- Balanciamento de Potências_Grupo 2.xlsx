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gonca\Desktop\PIIE\Balanciamento de Potências\"/>
    </mc:Choice>
  </mc:AlternateContent>
  <xr:revisionPtr revIDLastSave="0" documentId="13_ncr:1_{F30879AC-7F57-4510-907A-5CAD4979A1F6}" xr6:coauthVersionLast="45" xr6:coauthVersionMax="45" xr10:uidLastSave="{00000000-0000-0000-0000-000000000000}"/>
  <bookViews>
    <workbookView xWindow="-120" yWindow="-120" windowWidth="20730" windowHeight="11310" activeTab="7" xr2:uid="{00000000-000D-0000-FFFF-FFFF00000000}"/>
  </bookViews>
  <sheets>
    <sheet name="QP1" sheetId="14" r:id="rId1"/>
    <sheet name="QP2" sheetId="16" r:id="rId2"/>
    <sheet name="QP3" sheetId="17" r:id="rId3"/>
    <sheet name="QP4" sheetId="18" r:id="rId4"/>
    <sheet name="QP5" sheetId="19" r:id="rId5"/>
    <sheet name="QP6" sheetId="20" r:id="rId6"/>
    <sheet name="QP7" sheetId="21" r:id="rId7"/>
    <sheet name="QGM" sheetId="23" r:id="rId8"/>
    <sheet name="QGBT" sheetId="22" r:id="rId9"/>
    <sheet name="QPT" sheetId="2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16" i="18" l="1"/>
  <c r="U15" i="18"/>
  <c r="U14" i="18"/>
  <c r="U13" i="18"/>
  <c r="U12" i="18"/>
  <c r="U11" i="18"/>
  <c r="U10" i="18"/>
  <c r="U9" i="18"/>
  <c r="U8" i="18"/>
  <c r="U7" i="18"/>
  <c r="Q16" i="18"/>
  <c r="Q15" i="18"/>
  <c r="Q14" i="18"/>
  <c r="Q13" i="18"/>
  <c r="Q12" i="18"/>
  <c r="Q11" i="18"/>
  <c r="Q10" i="18"/>
  <c r="Q9" i="18"/>
  <c r="Q8" i="18"/>
  <c r="Q7" i="18"/>
  <c r="M16" i="18"/>
  <c r="M15" i="18"/>
  <c r="M14" i="18"/>
  <c r="M13" i="18"/>
  <c r="M12" i="18"/>
  <c r="M11" i="18"/>
  <c r="M10" i="18"/>
  <c r="M9" i="18"/>
  <c r="M8" i="18"/>
  <c r="M7" i="18"/>
  <c r="U11" i="17"/>
  <c r="U10" i="17"/>
  <c r="U9" i="17"/>
  <c r="U8" i="17"/>
  <c r="U7" i="17"/>
  <c r="Q11" i="17"/>
  <c r="Q10" i="17"/>
  <c r="Q9" i="17"/>
  <c r="Q8" i="17"/>
  <c r="Q7" i="17"/>
  <c r="U12" i="16"/>
  <c r="U11" i="16"/>
  <c r="U10" i="16"/>
  <c r="U9" i="16"/>
  <c r="U8" i="16"/>
  <c r="U7" i="16"/>
  <c r="Q12" i="16"/>
  <c r="Q11" i="16"/>
  <c r="Q10" i="16"/>
  <c r="Q9" i="16"/>
  <c r="Q8" i="16"/>
  <c r="Q7" i="16"/>
  <c r="M11" i="17"/>
  <c r="M10" i="17"/>
  <c r="M9" i="17"/>
  <c r="M8" i="17"/>
  <c r="M7" i="17"/>
  <c r="M12" i="16"/>
  <c r="M11" i="16"/>
  <c r="M10" i="16"/>
  <c r="M9" i="16"/>
  <c r="M8" i="16"/>
  <c r="M7" i="16"/>
  <c r="Y7" i="16" l="1"/>
  <c r="J8" i="24"/>
  <c r="H8" i="24"/>
  <c r="F8" i="24"/>
  <c r="M7" i="23"/>
  <c r="Z17" i="23"/>
  <c r="K7" i="23"/>
  <c r="J11" i="22"/>
  <c r="H11" i="22"/>
  <c r="F11" i="22"/>
  <c r="AA24" i="19"/>
  <c r="AA22" i="19"/>
  <c r="AA20" i="19"/>
  <c r="J12" i="22"/>
  <c r="H12" i="22"/>
  <c r="F12" i="22"/>
  <c r="AA24" i="20"/>
  <c r="AA22" i="20"/>
  <c r="AA20" i="20"/>
  <c r="J13" i="22"/>
  <c r="H13" i="22"/>
  <c r="F13" i="22"/>
  <c r="AA24" i="21"/>
  <c r="AA22" i="21"/>
  <c r="AA20" i="21"/>
  <c r="O17" i="22"/>
  <c r="Z17" i="21"/>
  <c r="U17" i="21"/>
  <c r="S17" i="21"/>
  <c r="Q17" i="21"/>
  <c r="O17" i="21"/>
  <c r="M17" i="21"/>
  <c r="S16" i="21"/>
  <c r="U16" i="21" s="1"/>
  <c r="Q16" i="21"/>
  <c r="O16" i="21"/>
  <c r="H16" i="21"/>
  <c r="M16" i="21" s="1"/>
  <c r="U15" i="21"/>
  <c r="S15" i="21"/>
  <c r="O15" i="21"/>
  <c r="M15" i="21"/>
  <c r="H15" i="21"/>
  <c r="Q15" i="21" s="1"/>
  <c r="Q14" i="21"/>
  <c r="O14" i="21"/>
  <c r="K14" i="21"/>
  <c r="M14" i="21" s="1"/>
  <c r="M13" i="21"/>
  <c r="K13" i="21"/>
  <c r="S13" i="21" s="1"/>
  <c r="U13" i="21" s="1"/>
  <c r="Q12" i="21"/>
  <c r="O12" i="21"/>
  <c r="K12" i="21"/>
  <c r="M12" i="21" s="1"/>
  <c r="Q11" i="21"/>
  <c r="O11" i="21"/>
  <c r="M11" i="21"/>
  <c r="K11" i="21"/>
  <c r="S11" i="21" s="1"/>
  <c r="U11" i="21" s="1"/>
  <c r="K10" i="21"/>
  <c r="Q10" i="21" s="1"/>
  <c r="Q9" i="21"/>
  <c r="O9" i="21"/>
  <c r="K9" i="21"/>
  <c r="M9" i="21" s="1"/>
  <c r="M8" i="21"/>
  <c r="K8" i="21"/>
  <c r="S8" i="21" s="1"/>
  <c r="U8" i="21" s="1"/>
  <c r="K7" i="21"/>
  <c r="Q7" i="21" s="1"/>
  <c r="K12" i="20"/>
  <c r="Q12" i="20" s="1"/>
  <c r="K11" i="20"/>
  <c r="S11" i="20" s="1"/>
  <c r="U11" i="20" s="1"/>
  <c r="K10" i="20"/>
  <c r="O10" i="20" s="1"/>
  <c r="K9" i="20"/>
  <c r="M9" i="20" s="1"/>
  <c r="K8" i="20"/>
  <c r="Q8" i="20" s="1"/>
  <c r="K7" i="20"/>
  <c r="O7" i="20" s="1"/>
  <c r="H13" i="20"/>
  <c r="Z17" i="20"/>
  <c r="S15" i="20"/>
  <c r="U15" i="20" s="1"/>
  <c r="Q15" i="20"/>
  <c r="O15" i="20"/>
  <c r="M15" i="20"/>
  <c r="S14" i="20"/>
  <c r="O14" i="20"/>
  <c r="H14" i="20"/>
  <c r="M14" i="20" s="1"/>
  <c r="S13" i="20"/>
  <c r="O13" i="20"/>
  <c r="Q13" i="20"/>
  <c r="S7" i="19"/>
  <c r="S8" i="19"/>
  <c r="S9" i="19"/>
  <c r="S10" i="19"/>
  <c r="U10" i="19" s="1"/>
  <c r="S11" i="19"/>
  <c r="S12" i="19"/>
  <c r="S13" i="19"/>
  <c r="S14" i="19"/>
  <c r="U14" i="19" s="1"/>
  <c r="S15" i="19"/>
  <c r="S16" i="19"/>
  <c r="S17" i="19"/>
  <c r="K14" i="19"/>
  <c r="Q14" i="19" s="1"/>
  <c r="K13" i="19"/>
  <c r="Q13" i="19" s="1"/>
  <c r="K12" i="19"/>
  <c r="K11" i="19"/>
  <c r="Q11" i="19" s="1"/>
  <c r="K10" i="19"/>
  <c r="O10" i="19" s="1"/>
  <c r="K9" i="19"/>
  <c r="M9" i="19" s="1"/>
  <c r="K8" i="19"/>
  <c r="K7" i="19"/>
  <c r="M7" i="19" s="1"/>
  <c r="H15" i="19"/>
  <c r="H16" i="19"/>
  <c r="U16" i="19" s="1"/>
  <c r="U15" i="19"/>
  <c r="Z17" i="19"/>
  <c r="U17" i="19"/>
  <c r="M17" i="19"/>
  <c r="Q17" i="19"/>
  <c r="Q16" i="19"/>
  <c r="Q15" i="19"/>
  <c r="U13" i="19"/>
  <c r="M13" i="19"/>
  <c r="U12" i="19"/>
  <c r="Q12" i="19"/>
  <c r="O12" i="19"/>
  <c r="M12" i="19"/>
  <c r="U11" i="19"/>
  <c r="O11" i="19"/>
  <c r="M11" i="19"/>
  <c r="Q10" i="19"/>
  <c r="M10" i="19"/>
  <c r="O9" i="19"/>
  <c r="U8" i="19"/>
  <c r="M8" i="19"/>
  <c r="U7" i="19"/>
  <c r="K13" i="18"/>
  <c r="K14" i="18"/>
  <c r="K15" i="18"/>
  <c r="K16" i="18"/>
  <c r="K12" i="18"/>
  <c r="S9" i="18"/>
  <c r="S10" i="18"/>
  <c r="S11" i="18"/>
  <c r="S8" i="18"/>
  <c r="O15" i="18"/>
  <c r="O13" i="18"/>
  <c r="O12" i="18"/>
  <c r="Z17" i="18"/>
  <c r="O10" i="18"/>
  <c r="O8" i="18"/>
  <c r="K7" i="18"/>
  <c r="O7" i="18" s="1"/>
  <c r="H7" i="18"/>
  <c r="Z17" i="14"/>
  <c r="Z17" i="16"/>
  <c r="Z17" i="17"/>
  <c r="K11" i="17"/>
  <c r="K10" i="17"/>
  <c r="K9" i="17"/>
  <c r="K8" i="17"/>
  <c r="O8" i="17" s="1"/>
  <c r="K7" i="17"/>
  <c r="S7" i="17" s="1"/>
  <c r="H7" i="17"/>
  <c r="K12" i="16"/>
  <c r="K11" i="16"/>
  <c r="K10" i="16"/>
  <c r="K9" i="16"/>
  <c r="K8" i="16"/>
  <c r="K7" i="16"/>
  <c r="H7" i="16"/>
  <c r="O14" i="18" l="1"/>
  <c r="O16" i="18"/>
  <c r="Y9" i="18"/>
  <c r="Y22" i="18" s="1"/>
  <c r="AA22" i="18" s="1"/>
  <c r="H10" i="22" s="1"/>
  <c r="S7" i="18"/>
  <c r="Y11" i="18" s="1"/>
  <c r="O7" i="23"/>
  <c r="Q7" i="23"/>
  <c r="Y9" i="23" s="1"/>
  <c r="Y22" i="23" s="1"/>
  <c r="AA22" i="23" s="1"/>
  <c r="S7" i="23"/>
  <c r="U7" i="23" s="1"/>
  <c r="Y7" i="23"/>
  <c r="Y20" i="23" s="1"/>
  <c r="AA20" i="23" s="1"/>
  <c r="S10" i="21"/>
  <c r="U10" i="21" s="1"/>
  <c r="M7" i="21"/>
  <c r="O8" i="21"/>
  <c r="S9" i="21"/>
  <c r="U9" i="21" s="1"/>
  <c r="M10" i="21"/>
  <c r="S12" i="21"/>
  <c r="U12" i="21" s="1"/>
  <c r="O13" i="21"/>
  <c r="S14" i="21"/>
  <c r="U14" i="21" s="1"/>
  <c r="S7" i="21"/>
  <c r="U7" i="21" s="1"/>
  <c r="Y11" i="21" s="1"/>
  <c r="Y24" i="21" s="1"/>
  <c r="O7" i="21"/>
  <c r="Q8" i="21"/>
  <c r="Y9" i="21" s="1"/>
  <c r="Y22" i="21" s="1"/>
  <c r="O10" i="21"/>
  <c r="Q13" i="21"/>
  <c r="M12" i="20"/>
  <c r="O11" i="20"/>
  <c r="Q11" i="20"/>
  <c r="M11" i="20"/>
  <c r="O12" i="20"/>
  <c r="Q7" i="20"/>
  <c r="O9" i="20"/>
  <c r="Q14" i="20"/>
  <c r="Q10" i="20"/>
  <c r="Q9" i="20"/>
  <c r="U13" i="20"/>
  <c r="U14" i="20"/>
  <c r="S8" i="20"/>
  <c r="U8" i="20" s="1"/>
  <c r="S7" i="20"/>
  <c r="U7" i="20" s="1"/>
  <c r="M8" i="20"/>
  <c r="S10" i="20"/>
  <c r="U10" i="20" s="1"/>
  <c r="M13" i="20"/>
  <c r="O8" i="20"/>
  <c r="S9" i="20"/>
  <c r="U9" i="20" s="1"/>
  <c r="M10" i="20"/>
  <c r="S12" i="20"/>
  <c r="U12" i="20" s="1"/>
  <c r="M7" i="20"/>
  <c r="Q9" i="19"/>
  <c r="U9" i="19"/>
  <c r="O16" i="19"/>
  <c r="M16" i="19"/>
  <c r="M15" i="19"/>
  <c r="O15" i="19"/>
  <c r="Y11" i="19"/>
  <c r="Y24" i="19" s="1"/>
  <c r="O7" i="19"/>
  <c r="O8" i="19"/>
  <c r="O13" i="19"/>
  <c r="M14" i="19"/>
  <c r="O17" i="19"/>
  <c r="Q7" i="19"/>
  <c r="Q8" i="19"/>
  <c r="O14" i="19"/>
  <c r="Y7" i="18"/>
  <c r="O11" i="18"/>
  <c r="O9" i="18"/>
  <c r="O11" i="17"/>
  <c r="Y11" i="17"/>
  <c r="Y24" i="17" s="1"/>
  <c r="AA24" i="17" s="1"/>
  <c r="J9" i="22" s="1"/>
  <c r="O7" i="17"/>
  <c r="O9" i="17"/>
  <c r="O10" i="17"/>
  <c r="O12" i="16"/>
  <c r="O7" i="16"/>
  <c r="O9" i="16"/>
  <c r="Y9" i="16"/>
  <c r="Y22" i="16" s="1"/>
  <c r="O10" i="16"/>
  <c r="S7" i="16"/>
  <c r="O8" i="16"/>
  <c r="Y11" i="16"/>
  <c r="Y24" i="16" s="1"/>
  <c r="AA24" i="16" s="1"/>
  <c r="J8" i="22" s="1"/>
  <c r="O11" i="16"/>
  <c r="U15" i="14"/>
  <c r="U14" i="14"/>
  <c r="U13" i="14"/>
  <c r="U12" i="14"/>
  <c r="U11" i="14"/>
  <c r="U10" i="14"/>
  <c r="U9" i="14"/>
  <c r="K10" i="14"/>
  <c r="Q10" i="14" s="1"/>
  <c r="K11" i="14"/>
  <c r="O11" i="14" s="1"/>
  <c r="K12" i="14"/>
  <c r="M12" i="14" s="1"/>
  <c r="K13" i="14"/>
  <c r="Q13" i="14" s="1"/>
  <c r="K14" i="14"/>
  <c r="Q14" i="14" s="1"/>
  <c r="K15" i="14"/>
  <c r="O15" i="14" s="1"/>
  <c r="K9" i="14"/>
  <c r="Q9" i="14" s="1"/>
  <c r="K8" i="14"/>
  <c r="O8" i="14" s="1"/>
  <c r="K7" i="14"/>
  <c r="O7" i="14" s="1"/>
  <c r="H8" i="14"/>
  <c r="Y11" i="23" l="1"/>
  <c r="Y24" i="23" s="1"/>
  <c r="AA24" i="23" s="1"/>
  <c r="Y7" i="21"/>
  <c r="Y20" i="21" s="1"/>
  <c r="Y9" i="20"/>
  <c r="Y22" i="20" s="1"/>
  <c r="Y11" i="20"/>
  <c r="Y24" i="20" s="1"/>
  <c r="Y7" i="20"/>
  <c r="Y20" i="20" s="1"/>
  <c r="Y7" i="19"/>
  <c r="Y20" i="19" s="1"/>
  <c r="Y9" i="19"/>
  <c r="Y22" i="19" s="1"/>
  <c r="Y20" i="18"/>
  <c r="AA20" i="18" s="1"/>
  <c r="F10" i="22" s="1"/>
  <c r="Y24" i="18"/>
  <c r="AA24" i="18" s="1"/>
  <c r="J10" i="22" s="1"/>
  <c r="Y7" i="17"/>
  <c r="Y20" i="17" s="1"/>
  <c r="AA20" i="17" s="1"/>
  <c r="F9" i="22" s="1"/>
  <c r="Y9" i="17"/>
  <c r="Y22" i="17" s="1"/>
  <c r="AA22" i="17" s="1"/>
  <c r="H9" i="22" s="1"/>
  <c r="AA22" i="16"/>
  <c r="H8" i="22" s="1"/>
  <c r="Y20" i="16"/>
  <c r="AA20" i="16" s="1"/>
  <c r="F8" i="22" s="1"/>
  <c r="S7" i="14"/>
  <c r="U7" i="14" s="1"/>
  <c r="S8" i="14"/>
  <c r="U8" i="14" s="1"/>
  <c r="M9" i="14"/>
  <c r="M13" i="14"/>
  <c r="O13" i="14"/>
  <c r="Q7" i="14"/>
  <c r="Q11" i="14"/>
  <c r="M7" i="14"/>
  <c r="M11" i="14"/>
  <c r="M15" i="14"/>
  <c r="O9" i="14"/>
  <c r="O12" i="14"/>
  <c r="Q8" i="14"/>
  <c r="Q12" i="14"/>
  <c r="Q15" i="14"/>
  <c r="M8" i="14"/>
  <c r="M10" i="14"/>
  <c r="M14" i="14"/>
  <c r="O14" i="14"/>
  <c r="O10" i="14"/>
  <c r="Y11" i="14" l="1"/>
  <c r="Y24" i="14" s="1"/>
  <c r="AA24" i="14" s="1"/>
  <c r="J7" i="22" s="1"/>
  <c r="N11" i="22" s="1"/>
  <c r="N24" i="22" s="1"/>
  <c r="P24" i="22" s="1"/>
  <c r="J7" i="24" s="1"/>
  <c r="N11" i="24" s="1"/>
  <c r="N24" i="24" s="1"/>
  <c r="Y9" i="14"/>
  <c r="Y22" i="14" s="1"/>
  <c r="AA22" i="14" s="1"/>
  <c r="H7" i="22" s="1"/>
  <c r="Y7" i="14"/>
  <c r="Y20" i="14" s="1"/>
  <c r="AA20" i="14" s="1"/>
  <c r="F7" i="22" s="1"/>
  <c r="N9" i="22" l="1"/>
  <c r="N22" i="22" s="1"/>
  <c r="P22" i="22" s="1"/>
  <c r="H7" i="24" s="1"/>
  <c r="N9" i="24" s="1"/>
  <c r="N22" i="24" s="1"/>
  <c r="N7" i="22"/>
  <c r="N20" i="22" s="1"/>
  <c r="P20" i="22" s="1"/>
  <c r="F7" i="24" s="1"/>
  <c r="N7" i="24" s="1"/>
  <c r="N20" i="24" s="1"/>
</calcChain>
</file>

<file path=xl/sharedStrings.xml><?xml version="1.0" encoding="utf-8"?>
<sst xmlns="http://schemas.openxmlformats.org/spreadsheetml/2006/main" count="778" uniqueCount="94">
  <si>
    <t>QP1</t>
  </si>
  <si>
    <t>Quantidade</t>
  </si>
  <si>
    <t>Equipamento</t>
  </si>
  <si>
    <t>Maquina de Injeção 1</t>
  </si>
  <si>
    <t>Maquina de Injeção 2</t>
  </si>
  <si>
    <t>Maquina de Injeção 3</t>
  </si>
  <si>
    <t>Maquina de Injeção 4</t>
  </si>
  <si>
    <t>Maquina de Injeção 5</t>
  </si>
  <si>
    <t>Maquina de Injeção 6</t>
  </si>
  <si>
    <t>Maquina de Injeção 7</t>
  </si>
  <si>
    <t>Maquina de Injeção 10</t>
  </si>
  <si>
    <t>QP2</t>
  </si>
  <si>
    <t>Maquina de Injeção 8</t>
  </si>
  <si>
    <t>Maquina de Injeção 9</t>
  </si>
  <si>
    <t>Maquina de Injeção 11</t>
  </si>
  <si>
    <t>Maquina de Injeção 14</t>
  </si>
  <si>
    <t>QGBT</t>
  </si>
  <si>
    <t>QP3</t>
  </si>
  <si>
    <t>QP4</t>
  </si>
  <si>
    <t>QP5</t>
  </si>
  <si>
    <t>QP6</t>
  </si>
  <si>
    <t>QP7</t>
  </si>
  <si>
    <t>QGM</t>
  </si>
  <si>
    <t>Maquina de Injeção 12</t>
  </si>
  <si>
    <t>Maquina de Injeção 13</t>
  </si>
  <si>
    <t>Maquina de Injeção 15</t>
  </si>
  <si>
    <t>Maquina de Injeção 16</t>
  </si>
  <si>
    <t>Ponte Rolante</t>
  </si>
  <si>
    <t>Bomba de Água 1</t>
  </si>
  <si>
    <t>Bomba de Água 2</t>
  </si>
  <si>
    <t>Bomba de Água 3</t>
  </si>
  <si>
    <t>Misturador</t>
  </si>
  <si>
    <t>Refrigerador 1</t>
  </si>
  <si>
    <t>Refrigerador 2</t>
  </si>
  <si>
    <t>Refrigerador 3</t>
  </si>
  <si>
    <t>Moinho</t>
  </si>
  <si>
    <t>Modulo AVAC Vulcano MS-R32 10,6UE</t>
  </si>
  <si>
    <t>Luminária LEDVANCE ref.4058075708181</t>
  </si>
  <si>
    <t>Luminária 3F Filippi S.p.A ref.21287</t>
  </si>
  <si>
    <t>Luminária ERCO ref.32516000</t>
  </si>
  <si>
    <t>Luminária ERCO ref.87685000</t>
  </si>
  <si>
    <t>Luminária LEDVANCE ref.4058075062207</t>
  </si>
  <si>
    <t>Luminária LEDVANCE ref.4058075064003</t>
  </si>
  <si>
    <t>Luminária LEDVANCE ref.4058075079274</t>
  </si>
  <si>
    <t>Luminária LEDVANCE ref.4058075079335</t>
  </si>
  <si>
    <t>Luminária LEDVANCE ref.4099854000201</t>
  </si>
  <si>
    <t>Tomada Shuko com Obturador - EFAPEL 3700 ref.37132C</t>
  </si>
  <si>
    <t>Posto de Carregamento VE - MAGNUM CAP ref.MC NCC</t>
  </si>
  <si>
    <t>Luminária LEDVANCE ref.4058075114005</t>
  </si>
  <si>
    <t>Luminária LEDVANCE ref.4058075364561</t>
  </si>
  <si>
    <t>Luminária LEDVANCE ref.4058075440616</t>
  </si>
  <si>
    <t>Luminária LEDVANCE ref.4058075617865</t>
  </si>
  <si>
    <t>Luminária LEDVANCE ref.4058075618084</t>
  </si>
  <si>
    <t>Quadro de Tomadas (1x16A 2P+T e 1x32A 3P+N+T)</t>
  </si>
  <si>
    <t>Unitária</t>
  </si>
  <si>
    <t>Conjunto</t>
  </si>
  <si>
    <t>Fatores</t>
  </si>
  <si>
    <t>Numero de Circuitos</t>
  </si>
  <si>
    <t>Potência do QP1</t>
  </si>
  <si>
    <t>Simultaneadade (Ks)</t>
  </si>
  <si>
    <t>Evolução de Cargas (Ke)</t>
  </si>
  <si>
    <t>Utilização (Ku)</t>
  </si>
  <si>
    <t>Cosϕ = f.p.</t>
  </si>
  <si>
    <t>kW</t>
  </si>
  <si>
    <t>kVar</t>
  </si>
  <si>
    <t>kVA</t>
  </si>
  <si>
    <t>Potência Ativa</t>
  </si>
  <si>
    <t>Potência Reativa</t>
  </si>
  <si>
    <t>P x Ks =</t>
  </si>
  <si>
    <t>Q x Ks =</t>
  </si>
  <si>
    <t>S x Ks =</t>
  </si>
  <si>
    <t>Fator de Simultaneadade do Quadro (Ks)</t>
  </si>
  <si>
    <t>Potência à Plena Carga</t>
  </si>
  <si>
    <t>Potência Aparente</t>
  </si>
  <si>
    <t>Potência do QP2</t>
  </si>
  <si>
    <t>Potência do QP3</t>
  </si>
  <si>
    <t>Potência do QP4</t>
  </si>
  <si>
    <t>Tomadas Monofásicas - Legrand_ Série Mosaic - Tomada 3x2P+T c/alvéolos inclinados 45º-ligad. Automáticos - preto mate</t>
  </si>
  <si>
    <t>Potência do QP5</t>
  </si>
  <si>
    <t>Potência do QP6</t>
  </si>
  <si>
    <t>Tabela de Potências - Quadro Geral de Baixa Tensão</t>
  </si>
  <si>
    <t>Tabela de Potências - Quadro Parcial 7</t>
  </si>
  <si>
    <t>Potência do QP7</t>
  </si>
  <si>
    <t>Tabela de Potências - Quadro Parcial 6</t>
  </si>
  <si>
    <t>Tabela de Potências - Quadro Parcial 5</t>
  </si>
  <si>
    <t>Tabela de Potências - Quadro Parcial 4</t>
  </si>
  <si>
    <t>Tabela de Potências - Quadro Parcial 3</t>
  </si>
  <si>
    <t>Tabela de Potências - Quadro Parcial 2</t>
  </si>
  <si>
    <t>Tabela de Potências - Quadro Parcial 1</t>
  </si>
  <si>
    <t>Potência do QGBT</t>
  </si>
  <si>
    <t>Tabela de Potências - Quadro do Posto de Transformação</t>
  </si>
  <si>
    <t>Potência do QPT</t>
  </si>
  <si>
    <t>Potência do QVE/QGM</t>
  </si>
  <si>
    <t>Tabela de Potências - Quadro Geral de Mobilidade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</si>
</sst>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77">
    <xf numFmtId="0" fontId="0" fillId="0" borderId="0" xfId="0"/>
    <xf numFmtId="0" fontId="2" fillId="2" borderId="0" xfId="1"/>
    <xf numFmtId="0" fontId="1" fillId="5" borderId="5" xfId="4" applyBorder="1" applyAlignment="1">
      <alignment horizontal="center" vertical="center" textRotation="90" wrapText="1"/>
    </xf>
    <xf numFmtId="0" fontId="1" fillId="5" borderId="5" xfId="4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7" xfId="1" applyBorder="1" applyAlignment="1">
      <alignment horizontal="center"/>
    </xf>
    <xf numFmtId="164" fontId="0" fillId="0" borderId="2" xfId="0" applyNumberFormat="1" applyBorder="1"/>
    <xf numFmtId="0" fontId="0" fillId="0" borderId="4" xfId="0" applyBorder="1"/>
    <xf numFmtId="0" fontId="0" fillId="0" borderId="4" xfId="0" applyBorder="1" applyAlignment="1">
      <alignment horizontal="left" vertical="center"/>
    </xf>
    <xf numFmtId="164" fontId="0" fillId="0" borderId="2" xfId="0" applyNumberFormat="1" applyBorder="1" applyAlignment="1">
      <alignment horizontal="right" vertical="center"/>
    </xf>
    <xf numFmtId="164" fontId="0" fillId="0" borderId="0" xfId="0" applyNumberFormat="1" applyBorder="1"/>
    <xf numFmtId="0" fontId="0" fillId="0" borderId="0" xfId="0" applyBorder="1"/>
    <xf numFmtId="0" fontId="2" fillId="2" borderId="12" xfId="1" applyBorder="1" applyAlignment="1">
      <alignment horizontal="center"/>
    </xf>
    <xf numFmtId="0" fontId="2" fillId="2" borderId="12" xfId="1" applyBorder="1"/>
    <xf numFmtId="0" fontId="2" fillId="2" borderId="5" xfId="1" applyBorder="1"/>
    <xf numFmtId="0" fontId="2" fillId="2" borderId="4" xfId="1" applyBorder="1"/>
    <xf numFmtId="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3" borderId="8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4" borderId="9" xfId="3" applyBorder="1" applyAlignment="1">
      <alignment horizontal="center" vertical="center" wrapText="1"/>
    </xf>
    <xf numFmtId="0" fontId="1" fillId="4" borderId="10" xfId="3" applyBorder="1" applyAlignment="1">
      <alignment horizontal="center" vertical="center" wrapText="1"/>
    </xf>
    <xf numFmtId="0" fontId="1" fillId="4" borderId="12" xfId="3" applyBorder="1" applyAlignment="1">
      <alignment horizontal="center" vertical="center" wrapText="1"/>
    </xf>
    <xf numFmtId="0" fontId="1" fillId="4" borderId="13" xfId="3" applyBorder="1" applyAlignment="1">
      <alignment horizontal="center" vertical="center" wrapText="1"/>
    </xf>
    <xf numFmtId="0" fontId="1" fillId="4" borderId="6" xfId="3" applyBorder="1" applyAlignment="1">
      <alignment horizontal="center" vertical="center" wrapText="1"/>
    </xf>
    <xf numFmtId="0" fontId="1" fillId="4" borderId="11" xfId="3" applyBorder="1" applyAlignment="1">
      <alignment horizontal="center" vertical="center" wrapText="1"/>
    </xf>
    <xf numFmtId="0" fontId="1" fillId="4" borderId="2" xfId="3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3" borderId="10" xfId="2" applyBorder="1" applyAlignment="1">
      <alignment horizontal="left" vertical="center"/>
    </xf>
    <xf numFmtId="0" fontId="1" fillId="3" borderId="13" xfId="2" applyBorder="1" applyAlignment="1">
      <alignment horizontal="left" vertical="center"/>
    </xf>
    <xf numFmtId="164" fontId="1" fillId="3" borderId="9" xfId="2" applyNumberFormat="1" applyBorder="1" applyAlignment="1">
      <alignment horizontal="right" vertical="center"/>
    </xf>
    <xf numFmtId="164" fontId="1" fillId="3" borderId="12" xfId="2" applyNumberFormat="1" applyBorder="1" applyAlignment="1">
      <alignment horizontal="right" vertical="center"/>
    </xf>
    <xf numFmtId="0" fontId="1" fillId="3" borderId="12" xfId="2" applyBorder="1" applyAlignment="1">
      <alignment horizontal="right" vertical="center"/>
    </xf>
    <xf numFmtId="0" fontId="1" fillId="3" borderId="6" xfId="2" applyBorder="1" applyAlignment="1">
      <alignment horizontal="right" vertical="center"/>
    </xf>
    <xf numFmtId="0" fontId="1" fillId="3" borderId="11" xfId="2" applyBorder="1" applyAlignment="1">
      <alignment horizontal="left" vertical="center"/>
    </xf>
    <xf numFmtId="0" fontId="1" fillId="4" borderId="1" xfId="3" applyBorder="1" applyAlignment="1">
      <alignment horizontal="center" vertical="center"/>
    </xf>
    <xf numFmtId="0" fontId="1" fillId="4" borderId="1" xfId="3" applyBorder="1" applyAlignment="1">
      <alignment horizontal="center" vertical="center" wrapText="1"/>
    </xf>
    <xf numFmtId="0" fontId="1" fillId="3" borderId="1" xfId="2" applyBorder="1" applyAlignment="1">
      <alignment horizontal="center" vertical="center"/>
    </xf>
    <xf numFmtId="0" fontId="1" fillId="5" borderId="1" xfId="4" applyBorder="1" applyAlignment="1">
      <alignment horizontal="center"/>
    </xf>
    <xf numFmtId="164" fontId="1" fillId="3" borderId="6" xfId="2" applyNumberFormat="1" applyBorder="1" applyAlignment="1">
      <alignment horizontal="right" vertical="center"/>
    </xf>
    <xf numFmtId="0" fontId="1" fillId="5" borderId="1" xfId="4" applyBorder="1" applyAlignment="1">
      <alignment horizontal="center" vertical="center" wrapText="1"/>
    </xf>
    <xf numFmtId="0" fontId="3" fillId="0" borderId="0" xfId="0" applyFont="1" applyAlignment="1">
      <alignment horizontal="left" vertical="center" indent="20"/>
    </xf>
    <xf numFmtId="0" fontId="2" fillId="2" borderId="1" xfId="1" applyBorder="1" applyAlignment="1">
      <alignment horizontal="center" vertical="center" wrapText="1"/>
    </xf>
    <xf numFmtId="0" fontId="1" fillId="3" borderId="2" xfId="2" applyBorder="1" applyAlignment="1">
      <alignment horizontal="center" vertical="center"/>
    </xf>
    <xf numFmtId="0" fontId="1" fillId="5" borderId="9" xfId="4" applyBorder="1" applyAlignment="1">
      <alignment horizontal="center" vertical="center" wrapText="1"/>
    </xf>
    <xf numFmtId="0" fontId="1" fillId="5" borderId="14" xfId="4" applyBorder="1" applyAlignment="1">
      <alignment horizontal="center" vertical="center" wrapText="1"/>
    </xf>
    <xf numFmtId="0" fontId="1" fillId="5" borderId="10" xfId="4" applyBorder="1" applyAlignment="1">
      <alignment horizontal="center" vertical="center" wrapText="1"/>
    </xf>
    <xf numFmtId="0" fontId="1" fillId="5" borderId="6" xfId="4" applyBorder="1" applyAlignment="1">
      <alignment horizontal="center" vertical="center" wrapText="1"/>
    </xf>
    <xf numFmtId="0" fontId="1" fillId="5" borderId="15" xfId="4" applyBorder="1" applyAlignment="1">
      <alignment horizontal="center" vertical="center" wrapText="1"/>
    </xf>
    <xf numFmtId="0" fontId="1" fillId="5" borderId="11" xfId="4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9" xfId="1" applyBorder="1" applyAlignment="1">
      <alignment horizontal="center" vertical="center" wrapText="1"/>
    </xf>
    <xf numFmtId="0" fontId="2" fillId="2" borderId="10" xfId="1" applyBorder="1" applyAlignment="1">
      <alignment horizontal="center" vertical="center" wrapText="1"/>
    </xf>
    <xf numFmtId="0" fontId="2" fillId="2" borderId="6" xfId="1" applyBorder="1" applyAlignment="1">
      <alignment horizontal="center" vertical="center" wrapText="1"/>
    </xf>
    <xf numFmtId="0" fontId="2" fillId="2" borderId="11" xfId="1" applyBorder="1" applyAlignment="1">
      <alignment horizontal="center" vertical="center" wrapText="1"/>
    </xf>
    <xf numFmtId="0" fontId="1" fillId="4" borderId="7" xfId="3" applyBorder="1" applyAlignment="1">
      <alignment horizontal="center" vertical="center" wrapText="1"/>
    </xf>
    <xf numFmtId="0" fontId="1" fillId="4" borderId="5" xfId="3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7" xfId="3" applyBorder="1" applyAlignment="1">
      <alignment horizontal="center" vertical="center"/>
    </xf>
    <xf numFmtId="0" fontId="1" fillId="4" borderId="5" xfId="3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5" borderId="2" xfId="4" applyBorder="1" applyAlignment="1">
      <alignment horizontal="center"/>
    </xf>
    <xf numFmtId="0" fontId="1" fillId="5" borderId="3" xfId="4" applyBorder="1" applyAlignment="1">
      <alignment horizontal="center"/>
    </xf>
    <xf numFmtId="0" fontId="1" fillId="5" borderId="4" xfId="4" applyBorder="1" applyAlignment="1">
      <alignment horizontal="center"/>
    </xf>
  </cellXfs>
  <cellStyles count="5">
    <cellStyle name="20% - Cor3" xfId="2" builtinId="38"/>
    <cellStyle name="40% - Cor3" xfId="3" builtinId="39"/>
    <cellStyle name="60% - Cor3" xfId="4" builtinId="40"/>
    <cellStyle name="Cor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BE55-239C-44AC-BC9C-E29E809A371A}">
  <sheetPr>
    <tabColor theme="2" tint="-0.499984740745262"/>
    <pageSetUpPr fitToPage="1"/>
  </sheetPr>
  <dimension ref="A1:AA26"/>
  <sheetViews>
    <sheetView topLeftCell="A2" zoomScale="70" zoomScaleNormal="70" workbookViewId="0">
      <selection activeCell="E19" sqref="E19"/>
    </sheetView>
  </sheetViews>
  <sheetFormatPr defaultRowHeight="15" x14ac:dyDescent="0.25"/>
  <cols>
    <col min="23" max="23" width="4.140625" customWidth="1"/>
    <col min="24" max="24" width="10.140625" customWidth="1"/>
    <col min="27" max="27" width="0" hidden="1" customWidth="1"/>
  </cols>
  <sheetData>
    <row r="1" spans="1:26" ht="15" customHeight="1" x14ac:dyDescent="0.25">
      <c r="A1" s="47" t="s">
        <v>88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3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50" t="s">
        <v>2</v>
      </c>
      <c r="B5" s="51"/>
      <c r="C5" s="52"/>
      <c r="D5" s="50" t="s">
        <v>1</v>
      </c>
      <c r="E5" s="52"/>
      <c r="F5" s="42" t="s">
        <v>62</v>
      </c>
      <c r="G5" s="42"/>
      <c r="H5" s="48" t="s">
        <v>56</v>
      </c>
      <c r="I5" s="48"/>
      <c r="J5" s="48"/>
      <c r="K5" s="48" t="s">
        <v>66</v>
      </c>
      <c r="L5" s="48"/>
      <c r="M5" s="48"/>
      <c r="N5" s="48"/>
      <c r="O5" s="48" t="s">
        <v>67</v>
      </c>
      <c r="P5" s="48"/>
      <c r="Q5" s="48"/>
      <c r="R5" s="48"/>
      <c r="S5" s="48" t="s">
        <v>73</v>
      </c>
      <c r="T5" s="48"/>
      <c r="U5" s="48"/>
      <c r="V5" s="48"/>
      <c r="W5" s="7"/>
      <c r="X5" s="46" t="s">
        <v>72</v>
      </c>
      <c r="Y5" s="46"/>
      <c r="Z5" s="46"/>
    </row>
    <row r="6" spans="1:26" ht="94.5" customHeight="1" x14ac:dyDescent="0.25">
      <c r="A6" s="53"/>
      <c r="B6" s="54"/>
      <c r="C6" s="55"/>
      <c r="D6" s="53"/>
      <c r="E6" s="55"/>
      <c r="F6" s="42"/>
      <c r="G6" s="42"/>
      <c r="H6" s="2" t="s">
        <v>59</v>
      </c>
      <c r="I6" s="2" t="s">
        <v>60</v>
      </c>
      <c r="J6" s="3" t="s">
        <v>61</v>
      </c>
      <c r="K6" s="43" t="s">
        <v>54</v>
      </c>
      <c r="L6" s="43"/>
      <c r="M6" s="43" t="s">
        <v>55</v>
      </c>
      <c r="N6" s="43"/>
      <c r="O6" s="43" t="s">
        <v>54</v>
      </c>
      <c r="P6" s="43"/>
      <c r="Q6" s="43" t="s">
        <v>55</v>
      </c>
      <c r="R6" s="43"/>
      <c r="S6" s="43" t="s">
        <v>54</v>
      </c>
      <c r="T6" s="43"/>
      <c r="U6" s="43" t="s">
        <v>55</v>
      </c>
      <c r="V6" s="49"/>
      <c r="W6" s="14"/>
      <c r="X6" s="46"/>
      <c r="Y6" s="46"/>
      <c r="Z6" s="46"/>
    </row>
    <row r="7" spans="1:26" x14ac:dyDescent="0.25">
      <c r="A7" s="33" t="s">
        <v>37</v>
      </c>
      <c r="B7" s="33"/>
      <c r="C7" s="33"/>
      <c r="D7" s="21">
        <v>40</v>
      </c>
      <c r="E7" s="21"/>
      <c r="F7" s="21">
        <v>0.95</v>
      </c>
      <c r="G7" s="21"/>
      <c r="H7" s="5">
        <v>1</v>
      </c>
      <c r="I7" s="22">
        <v>1</v>
      </c>
      <c r="J7" s="4">
        <v>1</v>
      </c>
      <c r="K7" s="11">
        <f>(133/0.9)/1000</f>
        <v>0.14777777777777776</v>
      </c>
      <c r="L7" s="10" t="s">
        <v>63</v>
      </c>
      <c r="M7" s="11">
        <f>K7*D7*H7*I7*J7</f>
        <v>5.9111111111111105</v>
      </c>
      <c r="N7" s="10" t="s">
        <v>63</v>
      </c>
      <c r="O7" s="8">
        <f>K7*TAN(ACOS(F7))</f>
        <v>4.8572206654209776E-2</v>
      </c>
      <c r="P7" s="9" t="s">
        <v>64</v>
      </c>
      <c r="Q7" s="8">
        <f>(K7*TAN(ACOS(F7)))*D7*H7*I7*J7</f>
        <v>1.9428882661683911</v>
      </c>
      <c r="R7" s="9" t="s">
        <v>64</v>
      </c>
      <c r="S7" s="8">
        <f>K7/F7</f>
        <v>0.15555555555555553</v>
      </c>
      <c r="T7" s="9" t="s">
        <v>65</v>
      </c>
      <c r="U7" s="8">
        <f>S7*D7*H7*I7*J7</f>
        <v>6.2222222222222214</v>
      </c>
      <c r="V7" s="9" t="s">
        <v>65</v>
      </c>
      <c r="W7" s="15"/>
      <c r="X7" s="32" t="s">
        <v>66</v>
      </c>
      <c r="Y7" s="36">
        <f>SUM(M7:M15)</f>
        <v>310.83111111111111</v>
      </c>
      <c r="Z7" s="34" t="s">
        <v>63</v>
      </c>
    </row>
    <row r="8" spans="1:26" x14ac:dyDescent="0.25">
      <c r="A8" s="33" t="s">
        <v>53</v>
      </c>
      <c r="B8" s="33"/>
      <c r="C8" s="33"/>
      <c r="D8" s="21">
        <v>3</v>
      </c>
      <c r="E8" s="21"/>
      <c r="F8" s="21">
        <v>0.9</v>
      </c>
      <c r="G8" s="21"/>
      <c r="H8" s="4">
        <f>0.1+(0.9/(D8*2))</f>
        <v>0.25</v>
      </c>
      <c r="I8" s="22"/>
      <c r="J8" s="4">
        <v>1</v>
      </c>
      <c r="K8" s="11">
        <f>((230*16)/1000)+(((230*SQRT(3))*32*SQRT(3))/1000)</f>
        <v>25.759999999999998</v>
      </c>
      <c r="L8" s="10" t="s">
        <v>63</v>
      </c>
      <c r="M8" s="11">
        <f>K8*D8*H8*I7*J8</f>
        <v>19.32</v>
      </c>
      <c r="N8" s="10" t="s">
        <v>63</v>
      </c>
      <c r="O8" s="8">
        <f>K8*TAN(ACOS(F8))</f>
        <v>12.476137420623081</v>
      </c>
      <c r="P8" s="9" t="s">
        <v>64</v>
      </c>
      <c r="Q8" s="8">
        <f>(K8*TAN(ACOS(F8)))*D8*H8*I7*J8</f>
        <v>9.3571030654673102</v>
      </c>
      <c r="R8" s="9" t="s">
        <v>64</v>
      </c>
      <c r="S8" s="8">
        <f>K8/F8</f>
        <v>28.62222222222222</v>
      </c>
      <c r="T8" s="9" t="s">
        <v>65</v>
      </c>
      <c r="U8" s="8">
        <f>S8*D8*H8*I7*J8</f>
        <v>21.466666666666665</v>
      </c>
      <c r="V8" s="9" t="s">
        <v>65</v>
      </c>
      <c r="W8" s="15"/>
      <c r="X8" s="32"/>
      <c r="Y8" s="37"/>
      <c r="Z8" s="35"/>
    </row>
    <row r="9" spans="1:26" x14ac:dyDescent="0.25">
      <c r="A9" s="33" t="s">
        <v>3</v>
      </c>
      <c r="B9" s="33"/>
      <c r="C9" s="33"/>
      <c r="D9" s="21">
        <v>1</v>
      </c>
      <c r="E9" s="21"/>
      <c r="F9" s="21">
        <v>0.85</v>
      </c>
      <c r="G9" s="21"/>
      <c r="H9" s="4">
        <v>1</v>
      </c>
      <c r="I9" s="22"/>
      <c r="J9" s="4">
        <v>0.8</v>
      </c>
      <c r="K9" s="11">
        <f>S9*F9</f>
        <v>21.25</v>
      </c>
      <c r="L9" s="10" t="s">
        <v>63</v>
      </c>
      <c r="M9" s="11">
        <f>K9*D9*H9*I7*J9</f>
        <v>17</v>
      </c>
      <c r="N9" s="10" t="s">
        <v>63</v>
      </c>
      <c r="O9" s="8">
        <f>K9*TAN(ACOS(F9))</f>
        <v>13.169567191065923</v>
      </c>
      <c r="P9" s="9" t="s">
        <v>64</v>
      </c>
      <c r="Q9" s="8">
        <f>(K9*TAN(ACOS(F9)))*D9*H9*I7*J9</f>
        <v>10.535653752852738</v>
      </c>
      <c r="R9" s="9" t="s">
        <v>64</v>
      </c>
      <c r="S9" s="8">
        <v>25</v>
      </c>
      <c r="T9" s="9" t="s">
        <v>65</v>
      </c>
      <c r="U9" s="8">
        <f>S9*D9*H9*I7*J9</f>
        <v>20</v>
      </c>
      <c r="V9" s="9" t="s">
        <v>65</v>
      </c>
      <c r="W9" s="15"/>
      <c r="X9" s="32" t="s">
        <v>67</v>
      </c>
      <c r="Y9" s="36">
        <f>SUM(Q7:Q15)</f>
        <v>188.29897437956171</v>
      </c>
      <c r="Z9" s="34" t="s">
        <v>64</v>
      </c>
    </row>
    <row r="10" spans="1:26" x14ac:dyDescent="0.25">
      <c r="A10" s="33" t="s">
        <v>4</v>
      </c>
      <c r="B10" s="33"/>
      <c r="C10" s="33"/>
      <c r="D10" s="21">
        <v>1</v>
      </c>
      <c r="E10" s="21"/>
      <c r="F10" s="21">
        <v>0.85</v>
      </c>
      <c r="G10" s="21"/>
      <c r="H10" s="4">
        <v>1</v>
      </c>
      <c r="I10" s="22"/>
      <c r="J10" s="4">
        <v>0.8</v>
      </c>
      <c r="K10" s="11">
        <f t="shared" ref="K10:K15" si="0">S10*F10</f>
        <v>38.25</v>
      </c>
      <c r="L10" s="10" t="s">
        <v>63</v>
      </c>
      <c r="M10" s="11">
        <f>K10*D10*H10*I7*J10</f>
        <v>30.6</v>
      </c>
      <c r="N10" s="10" t="s">
        <v>63</v>
      </c>
      <c r="O10" s="8">
        <f t="shared" ref="O10:O15" si="1">K10*TAN(ACOS(F10))</f>
        <v>23.705220943918661</v>
      </c>
      <c r="P10" s="9" t="s">
        <v>64</v>
      </c>
      <c r="Q10" s="8">
        <f>(K10*TAN(ACOS(F10)))*D10*H10*I7*J10</f>
        <v>18.964176755134929</v>
      </c>
      <c r="R10" s="9" t="s">
        <v>64</v>
      </c>
      <c r="S10" s="8">
        <v>45</v>
      </c>
      <c r="T10" s="9" t="s">
        <v>65</v>
      </c>
      <c r="U10" s="8">
        <f>S10*D10*H10*I7*J10</f>
        <v>36</v>
      </c>
      <c r="V10" s="9" t="s">
        <v>65</v>
      </c>
      <c r="W10" s="15"/>
      <c r="X10" s="32"/>
      <c r="Y10" s="38"/>
      <c r="Z10" s="35"/>
    </row>
    <row r="11" spans="1:26" x14ac:dyDescent="0.25">
      <c r="A11" s="33" t="s">
        <v>5</v>
      </c>
      <c r="B11" s="33"/>
      <c r="C11" s="33"/>
      <c r="D11" s="21">
        <v>1</v>
      </c>
      <c r="E11" s="21"/>
      <c r="F11" s="21">
        <v>0.85</v>
      </c>
      <c r="G11" s="21"/>
      <c r="H11" s="4">
        <v>1</v>
      </c>
      <c r="I11" s="22"/>
      <c r="J11" s="4">
        <v>0.8</v>
      </c>
      <c r="K11" s="11">
        <f t="shared" si="0"/>
        <v>38.25</v>
      </c>
      <c r="L11" s="10" t="s">
        <v>63</v>
      </c>
      <c r="M11" s="11">
        <f>K11*D11*H11*I7*J11</f>
        <v>30.6</v>
      </c>
      <c r="N11" s="10" t="s">
        <v>63</v>
      </c>
      <c r="O11" s="8">
        <f t="shared" si="1"/>
        <v>23.705220943918661</v>
      </c>
      <c r="P11" s="9" t="s">
        <v>64</v>
      </c>
      <c r="Q11" s="8">
        <f>(K11*TAN(ACOS(F11)))*D11*H11*I7*J11</f>
        <v>18.964176755134929</v>
      </c>
      <c r="R11" s="9" t="s">
        <v>64</v>
      </c>
      <c r="S11" s="8">
        <v>45</v>
      </c>
      <c r="T11" s="9" t="s">
        <v>65</v>
      </c>
      <c r="U11" s="8">
        <f>S11*D11*H11*I7*J11</f>
        <v>36</v>
      </c>
      <c r="V11" s="9" t="s">
        <v>65</v>
      </c>
      <c r="W11" s="15"/>
      <c r="X11" s="32" t="s">
        <v>73</v>
      </c>
      <c r="Y11" s="36">
        <f>SUM(U7:U15)</f>
        <v>363.68888888888887</v>
      </c>
      <c r="Z11" s="34" t="s">
        <v>65</v>
      </c>
    </row>
    <row r="12" spans="1:26" x14ac:dyDescent="0.25">
      <c r="A12" s="33" t="s">
        <v>6</v>
      </c>
      <c r="B12" s="33"/>
      <c r="C12" s="33"/>
      <c r="D12" s="21">
        <v>1</v>
      </c>
      <c r="E12" s="21"/>
      <c r="F12" s="21">
        <v>0.85</v>
      </c>
      <c r="G12" s="21"/>
      <c r="H12" s="4">
        <v>1</v>
      </c>
      <c r="I12" s="22"/>
      <c r="J12" s="4">
        <v>0.8</v>
      </c>
      <c r="K12" s="11">
        <f t="shared" si="0"/>
        <v>42.5</v>
      </c>
      <c r="L12" s="10" t="s">
        <v>63</v>
      </c>
      <c r="M12" s="11">
        <f>K12*D12*H12*I7*J12</f>
        <v>34</v>
      </c>
      <c r="N12" s="10" t="s">
        <v>63</v>
      </c>
      <c r="O12" s="8">
        <f t="shared" si="1"/>
        <v>26.339134382131846</v>
      </c>
      <c r="P12" s="9" t="s">
        <v>64</v>
      </c>
      <c r="Q12" s="8">
        <f>(K12*TAN(ACOS(F12)))*D12*H12*I7*J12</f>
        <v>21.071307505705477</v>
      </c>
      <c r="R12" s="9" t="s">
        <v>64</v>
      </c>
      <c r="S12" s="8">
        <v>50</v>
      </c>
      <c r="T12" s="9" t="s">
        <v>65</v>
      </c>
      <c r="U12" s="8">
        <f>S12*D12*H12*I7*J12</f>
        <v>40</v>
      </c>
      <c r="V12" s="9" t="s">
        <v>65</v>
      </c>
      <c r="W12" s="15"/>
      <c r="X12" s="32"/>
      <c r="Y12" s="39"/>
      <c r="Z12" s="40"/>
    </row>
    <row r="13" spans="1:26" x14ac:dyDescent="0.25">
      <c r="A13" s="33" t="s">
        <v>7</v>
      </c>
      <c r="B13" s="33"/>
      <c r="C13" s="33"/>
      <c r="D13" s="21">
        <v>1</v>
      </c>
      <c r="E13" s="21"/>
      <c r="F13" s="21">
        <v>0.85</v>
      </c>
      <c r="G13" s="21"/>
      <c r="H13" s="4">
        <v>1</v>
      </c>
      <c r="I13" s="22"/>
      <c r="J13" s="4">
        <v>0.8</v>
      </c>
      <c r="K13" s="11">
        <f t="shared" si="0"/>
        <v>72.25</v>
      </c>
      <c r="L13" s="10" t="s">
        <v>63</v>
      </c>
      <c r="M13" s="11">
        <f>K13*D13*H13*I7*J13</f>
        <v>57.800000000000004</v>
      </c>
      <c r="N13" s="10" t="s">
        <v>63</v>
      </c>
      <c r="O13" s="8">
        <f t="shared" si="1"/>
        <v>44.776528449624138</v>
      </c>
      <c r="P13" s="9" t="s">
        <v>64</v>
      </c>
      <c r="Q13" s="8">
        <f>(K13*TAN(ACOS(F13)))*D13*H13*I7*J13</f>
        <v>35.82122275969931</v>
      </c>
      <c r="R13" s="9" t="s">
        <v>64</v>
      </c>
      <c r="S13" s="8">
        <v>85</v>
      </c>
      <c r="T13" s="9" t="s">
        <v>65</v>
      </c>
      <c r="U13" s="8">
        <f>S13*D13*H13*I7*J13</f>
        <v>68</v>
      </c>
      <c r="V13" s="9" t="s">
        <v>65</v>
      </c>
      <c r="W13" s="15"/>
      <c r="X13" s="1"/>
      <c r="Y13" s="1"/>
      <c r="Z13" s="17"/>
    </row>
    <row r="14" spans="1:26" x14ac:dyDescent="0.25">
      <c r="A14" s="33" t="s">
        <v>8</v>
      </c>
      <c r="B14" s="33"/>
      <c r="C14" s="33"/>
      <c r="D14" s="21">
        <v>1</v>
      </c>
      <c r="E14" s="21"/>
      <c r="F14" s="21">
        <v>0.85</v>
      </c>
      <c r="G14" s="21"/>
      <c r="H14" s="4">
        <v>1</v>
      </c>
      <c r="I14" s="22"/>
      <c r="J14" s="4">
        <v>0.8</v>
      </c>
      <c r="K14" s="11">
        <f t="shared" si="0"/>
        <v>72.25</v>
      </c>
      <c r="L14" s="10" t="s">
        <v>63</v>
      </c>
      <c r="M14" s="11">
        <f>K14*D14*H14*I7*J14</f>
        <v>57.800000000000004</v>
      </c>
      <c r="N14" s="10" t="s">
        <v>63</v>
      </c>
      <c r="O14" s="8">
        <f t="shared" si="1"/>
        <v>44.776528449624138</v>
      </c>
      <c r="P14" s="9" t="s">
        <v>64</v>
      </c>
      <c r="Q14" s="8">
        <f>(K14*TAN(ACOS(F14)))*D14*H14*I7*J14</f>
        <v>35.82122275969931</v>
      </c>
      <c r="R14" s="9" t="s">
        <v>64</v>
      </c>
      <c r="S14" s="8">
        <v>85</v>
      </c>
      <c r="T14" s="9" t="s">
        <v>65</v>
      </c>
      <c r="U14" s="8">
        <f>S14*D14*H14*I7*J14</f>
        <v>68</v>
      </c>
      <c r="V14" s="9" t="s">
        <v>65</v>
      </c>
      <c r="W14" s="15"/>
      <c r="X14" s="44" t="s">
        <v>58</v>
      </c>
      <c r="Y14" s="44"/>
      <c r="Z14" s="44"/>
    </row>
    <row r="15" spans="1:26" x14ac:dyDescent="0.25">
      <c r="A15" s="33" t="s">
        <v>10</v>
      </c>
      <c r="B15" s="33"/>
      <c r="C15" s="33"/>
      <c r="D15" s="21">
        <v>1</v>
      </c>
      <c r="E15" s="21"/>
      <c r="F15" s="21">
        <v>0.85</v>
      </c>
      <c r="G15" s="21"/>
      <c r="H15" s="4">
        <v>1</v>
      </c>
      <c r="I15" s="22"/>
      <c r="J15" s="4">
        <v>0.8</v>
      </c>
      <c r="K15" s="11">
        <f t="shared" si="0"/>
        <v>72.25</v>
      </c>
      <c r="L15" s="10" t="s">
        <v>63</v>
      </c>
      <c r="M15" s="11">
        <f>K15*D15*H15*I7*J15</f>
        <v>57.800000000000004</v>
      </c>
      <c r="N15" s="10" t="s">
        <v>63</v>
      </c>
      <c r="O15" s="8">
        <f t="shared" si="1"/>
        <v>44.776528449624138</v>
      </c>
      <c r="P15" s="9" t="s">
        <v>64</v>
      </c>
      <c r="Q15" s="8">
        <f>(K15*TAN(ACOS(F15)))*D15*H15*I7*J15</f>
        <v>35.82122275969931</v>
      </c>
      <c r="R15" s="9" t="s">
        <v>64</v>
      </c>
      <c r="S15" s="8">
        <v>85</v>
      </c>
      <c r="T15" s="9" t="s">
        <v>65</v>
      </c>
      <c r="U15" s="8">
        <f>S15*D15*H15*I7*J15</f>
        <v>68</v>
      </c>
      <c r="V15" s="9" t="s">
        <v>65</v>
      </c>
      <c r="W15" s="15"/>
      <c r="X15" s="42" t="s">
        <v>57</v>
      </c>
      <c r="Y15" s="42"/>
      <c r="Z15" s="43">
        <v>11</v>
      </c>
    </row>
    <row r="16" spans="1:26" x14ac:dyDescent="0.25">
      <c r="W16" s="15"/>
      <c r="X16" s="42"/>
      <c r="Y16" s="42"/>
      <c r="Z16" s="43"/>
    </row>
    <row r="17" spans="19:27" ht="15" customHeight="1" x14ac:dyDescent="0.25">
      <c r="W17" s="15"/>
      <c r="X17" s="26" t="s">
        <v>71</v>
      </c>
      <c r="Y17" s="27"/>
      <c r="Z17" s="23">
        <f>IF(Z15&gt;=10,0.6,IF(Z15&gt;=6,0.7,IF(Z15&lt;6,0.8)))</f>
        <v>0.6</v>
      </c>
    </row>
    <row r="18" spans="19:27" x14ac:dyDescent="0.25">
      <c r="S18" s="12"/>
      <c r="T18" s="13"/>
      <c r="W18" s="15"/>
      <c r="X18" s="28"/>
      <c r="Y18" s="29"/>
      <c r="Z18" s="24"/>
    </row>
    <row r="19" spans="19:27" ht="15" customHeight="1" x14ac:dyDescent="0.25">
      <c r="S19" s="12"/>
      <c r="T19" s="13"/>
      <c r="W19" s="15"/>
      <c r="X19" s="30"/>
      <c r="Y19" s="31"/>
      <c r="Z19" s="25"/>
    </row>
    <row r="20" spans="19:27" x14ac:dyDescent="0.25">
      <c r="S20" s="12"/>
      <c r="T20" s="13"/>
      <c r="W20" s="15"/>
      <c r="X20" s="41" t="s">
        <v>68</v>
      </c>
      <c r="Y20" s="36">
        <f>Y7*Z17</f>
        <v>186.49866666666665</v>
      </c>
      <c r="Z20" s="34" t="s">
        <v>63</v>
      </c>
      <c r="AA20" s="20">
        <f>Y20</f>
        <v>186.49866666666665</v>
      </c>
    </row>
    <row r="21" spans="19:27" ht="15" customHeight="1" x14ac:dyDescent="0.25">
      <c r="S21" s="12"/>
      <c r="T21" s="13"/>
      <c r="W21" s="15"/>
      <c r="X21" s="41"/>
      <c r="Y21" s="45"/>
      <c r="Z21" s="40"/>
    </row>
    <row r="22" spans="19:27" x14ac:dyDescent="0.25">
      <c r="S22" s="12"/>
      <c r="T22" s="13"/>
      <c r="W22" s="15"/>
      <c r="X22" s="41" t="s">
        <v>69</v>
      </c>
      <c r="Y22" s="36">
        <f>Y9*Z17</f>
        <v>112.97938462773702</v>
      </c>
      <c r="Z22" s="34" t="s">
        <v>64</v>
      </c>
      <c r="AA22" s="20">
        <f>Y22</f>
        <v>112.97938462773702</v>
      </c>
    </row>
    <row r="23" spans="19:27" ht="15" customHeight="1" x14ac:dyDescent="0.25">
      <c r="S23" s="12"/>
      <c r="T23" s="13"/>
      <c r="W23" s="15"/>
      <c r="X23" s="41"/>
      <c r="Y23" s="45"/>
      <c r="Z23" s="40"/>
    </row>
    <row r="24" spans="19:27" x14ac:dyDescent="0.25">
      <c r="S24" s="12"/>
      <c r="T24" s="13"/>
      <c r="W24" s="15"/>
      <c r="X24" s="41" t="s">
        <v>70</v>
      </c>
      <c r="Y24" s="36">
        <f>Y11*Z17</f>
        <v>218.21333333333331</v>
      </c>
      <c r="Z24" s="34" t="s">
        <v>65</v>
      </c>
      <c r="AA24" s="20">
        <f>Y24</f>
        <v>218.21333333333331</v>
      </c>
    </row>
    <row r="25" spans="19:27" ht="15" customHeight="1" x14ac:dyDescent="0.25">
      <c r="S25" s="12"/>
      <c r="T25" s="13"/>
      <c r="W25" s="16"/>
      <c r="X25" s="41"/>
      <c r="Y25" s="45"/>
      <c r="Z25" s="40"/>
    </row>
    <row r="26" spans="19:27" x14ac:dyDescent="0.25">
      <c r="S26" s="12"/>
      <c r="T26" s="13"/>
    </row>
  </sheetData>
  <mergeCells count="66">
    <mergeCell ref="X7:X8"/>
    <mergeCell ref="X5:Z6"/>
    <mergeCell ref="A1:Z4"/>
    <mergeCell ref="H5:J5"/>
    <mergeCell ref="O5:R5"/>
    <mergeCell ref="O6:P6"/>
    <mergeCell ref="Q6:R6"/>
    <mergeCell ref="S5:V5"/>
    <mergeCell ref="S6:T6"/>
    <mergeCell ref="U6:V6"/>
    <mergeCell ref="A5:C6"/>
    <mergeCell ref="D5:E6"/>
    <mergeCell ref="F5:G6"/>
    <mergeCell ref="K5:N5"/>
    <mergeCell ref="K6:L6"/>
    <mergeCell ref="M6:N6"/>
    <mergeCell ref="X22:X23"/>
    <mergeCell ref="X24:X25"/>
    <mergeCell ref="X15:Y16"/>
    <mergeCell ref="Z15:Z16"/>
    <mergeCell ref="X14:Z14"/>
    <mergeCell ref="X20:X21"/>
    <mergeCell ref="Y20:Y21"/>
    <mergeCell ref="Z20:Z21"/>
    <mergeCell ref="Z22:Z23"/>
    <mergeCell ref="Y22:Y23"/>
    <mergeCell ref="Y24:Y25"/>
    <mergeCell ref="Z24:Z25"/>
    <mergeCell ref="Z7:Z8"/>
    <mergeCell ref="Y7:Y8"/>
    <mergeCell ref="Y9:Y10"/>
    <mergeCell ref="Z9:Z10"/>
    <mergeCell ref="Y11:Y12"/>
    <mergeCell ref="Z11:Z12"/>
    <mergeCell ref="A13:C13"/>
    <mergeCell ref="A14:C14"/>
    <mergeCell ref="A15:C15"/>
    <mergeCell ref="D7:E7"/>
    <mergeCell ref="D8:E8"/>
    <mergeCell ref="D9:E9"/>
    <mergeCell ref="D10:E10"/>
    <mergeCell ref="D11:E11"/>
    <mergeCell ref="D12:E12"/>
    <mergeCell ref="D13:E13"/>
    <mergeCell ref="A7:C7"/>
    <mergeCell ref="A8:C8"/>
    <mergeCell ref="A9:C9"/>
    <mergeCell ref="A10:C10"/>
    <mergeCell ref="A11:C11"/>
    <mergeCell ref="A12:C12"/>
    <mergeCell ref="F15:G15"/>
    <mergeCell ref="I7:I15"/>
    <mergeCell ref="Z17:Z19"/>
    <mergeCell ref="X17:Y19"/>
    <mergeCell ref="D14:E14"/>
    <mergeCell ref="D15:E15"/>
    <mergeCell ref="F7:G7"/>
    <mergeCell ref="F8:G8"/>
    <mergeCell ref="F9:G9"/>
    <mergeCell ref="F10:G10"/>
    <mergeCell ref="F11:G11"/>
    <mergeCell ref="F12:G12"/>
    <mergeCell ref="F13:G13"/>
    <mergeCell ref="F14:G14"/>
    <mergeCell ref="X11:X12"/>
    <mergeCell ref="X9:X10"/>
  </mergeCells>
  <phoneticPr fontId="4" type="noConversion"/>
  <pageMargins left="0.7" right="0.7" top="0.75" bottom="0.75" header="0.3" footer="0.3"/>
  <pageSetup paperSize="9" scale="56" orientation="landscape" r:id="rId1"/>
  <ignoredErrors>
    <ignoredError sqref="M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4507-7732-4C37-8433-0F3C0C6B0AD6}">
  <sheetPr>
    <tabColor theme="2" tint="-0.499984740745262"/>
    <pageSetUpPr fitToPage="1"/>
  </sheetPr>
  <dimension ref="A1:AA25"/>
  <sheetViews>
    <sheetView topLeftCell="A4" zoomScale="70" zoomScaleNormal="70" workbookViewId="0">
      <selection activeCell="U13" sqref="U13"/>
    </sheetView>
  </sheetViews>
  <sheetFormatPr defaultRowHeight="15" x14ac:dyDescent="0.25"/>
  <cols>
    <col min="23" max="23" width="4.140625" customWidth="1"/>
    <col min="24" max="24" width="10.140625" customWidth="1"/>
    <col min="27" max="27" width="0" hidden="1" customWidth="1"/>
  </cols>
  <sheetData>
    <row r="1" spans="1:26" ht="15" customHeight="1" x14ac:dyDescent="0.25">
      <c r="A1" s="47" t="s">
        <v>87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3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50" t="s">
        <v>2</v>
      </c>
      <c r="B5" s="51"/>
      <c r="C5" s="52"/>
      <c r="D5" s="50" t="s">
        <v>1</v>
      </c>
      <c r="E5" s="52"/>
      <c r="F5" s="42" t="s">
        <v>62</v>
      </c>
      <c r="G5" s="42"/>
      <c r="H5" s="48" t="s">
        <v>56</v>
      </c>
      <c r="I5" s="48"/>
      <c r="J5" s="48"/>
      <c r="K5" s="48" t="s">
        <v>66</v>
      </c>
      <c r="L5" s="48"/>
      <c r="M5" s="48"/>
      <c r="N5" s="48"/>
      <c r="O5" s="48" t="s">
        <v>67</v>
      </c>
      <c r="P5" s="48"/>
      <c r="Q5" s="48"/>
      <c r="R5" s="48"/>
      <c r="S5" s="48" t="s">
        <v>73</v>
      </c>
      <c r="T5" s="48"/>
      <c r="U5" s="48"/>
      <c r="V5" s="48"/>
      <c r="W5" s="7"/>
      <c r="X5" s="46" t="s">
        <v>72</v>
      </c>
      <c r="Y5" s="46"/>
      <c r="Z5" s="46"/>
    </row>
    <row r="6" spans="1:26" ht="94.5" customHeight="1" x14ac:dyDescent="0.25">
      <c r="A6" s="53"/>
      <c r="B6" s="54"/>
      <c r="C6" s="55"/>
      <c r="D6" s="53"/>
      <c r="E6" s="55"/>
      <c r="F6" s="42"/>
      <c r="G6" s="42"/>
      <c r="H6" s="2" t="s">
        <v>59</v>
      </c>
      <c r="I6" s="2" t="s">
        <v>60</v>
      </c>
      <c r="J6" s="3" t="s">
        <v>61</v>
      </c>
      <c r="K6" s="43" t="s">
        <v>54</v>
      </c>
      <c r="L6" s="43"/>
      <c r="M6" s="43" t="s">
        <v>55</v>
      </c>
      <c r="N6" s="43"/>
      <c r="O6" s="43" t="s">
        <v>54</v>
      </c>
      <c r="P6" s="43"/>
      <c r="Q6" s="43" t="s">
        <v>55</v>
      </c>
      <c r="R6" s="43"/>
      <c r="S6" s="43" t="s">
        <v>54</v>
      </c>
      <c r="T6" s="43"/>
      <c r="U6" s="43" t="s">
        <v>55</v>
      </c>
      <c r="V6" s="49"/>
      <c r="W6" s="14"/>
      <c r="X6" s="46"/>
      <c r="Y6" s="46"/>
      <c r="Z6" s="46"/>
    </row>
    <row r="7" spans="1:26" x14ac:dyDescent="0.25">
      <c r="A7" s="33" t="s">
        <v>53</v>
      </c>
      <c r="B7" s="33"/>
      <c r="C7" s="33"/>
      <c r="D7" s="21">
        <v>2</v>
      </c>
      <c r="E7" s="21"/>
      <c r="F7" s="21">
        <v>0.9</v>
      </c>
      <c r="G7" s="21"/>
      <c r="H7" s="6">
        <f>0.1+(0.9/(D7*2))</f>
        <v>0.32500000000000001</v>
      </c>
      <c r="I7" s="22">
        <v>1</v>
      </c>
      <c r="J7" s="6">
        <v>1</v>
      </c>
      <c r="K7" s="11">
        <f>((230*16)/1000)+(((230*SQRT(3))*32*SQRT(3))/1000)</f>
        <v>25.759999999999998</v>
      </c>
      <c r="L7" s="10" t="s">
        <v>63</v>
      </c>
      <c r="M7" s="11">
        <f>K7*D7*H7*I7*J7</f>
        <v>16.744</v>
      </c>
      <c r="N7" s="10" t="s">
        <v>63</v>
      </c>
      <c r="O7" s="8">
        <f>K7*TAN(ACOS(F7))</f>
        <v>12.476137420623081</v>
      </c>
      <c r="P7" s="9" t="s">
        <v>64</v>
      </c>
      <c r="Q7" s="8">
        <f>(K7*TAN(ACOS(F7)))*D7*H7*I7*J7</f>
        <v>8.1094893234050023</v>
      </c>
      <c r="R7" s="9" t="s">
        <v>64</v>
      </c>
      <c r="S7" s="8">
        <f>K7/F7</f>
        <v>28.62222222222222</v>
      </c>
      <c r="T7" s="9" t="s">
        <v>65</v>
      </c>
      <c r="U7" s="8">
        <f>S7*D7*H7*I7*J7</f>
        <v>18.604444444444443</v>
      </c>
      <c r="V7" s="9" t="s">
        <v>65</v>
      </c>
      <c r="W7" s="15"/>
      <c r="X7" s="32" t="s">
        <v>66</v>
      </c>
      <c r="Y7" s="36">
        <f>SUM(M7:M12)</f>
        <v>305.74400000000003</v>
      </c>
      <c r="Z7" s="34" t="s">
        <v>63</v>
      </c>
    </row>
    <row r="8" spans="1:26" x14ac:dyDescent="0.25">
      <c r="A8" s="33" t="s">
        <v>9</v>
      </c>
      <c r="B8" s="33"/>
      <c r="C8" s="33"/>
      <c r="D8" s="21">
        <v>1</v>
      </c>
      <c r="E8" s="21"/>
      <c r="F8" s="21">
        <v>0.85</v>
      </c>
      <c r="G8" s="21"/>
      <c r="H8" s="6">
        <v>1</v>
      </c>
      <c r="I8" s="22"/>
      <c r="J8" s="6">
        <v>0.8</v>
      </c>
      <c r="K8" s="11">
        <f>S8*F8</f>
        <v>72.25</v>
      </c>
      <c r="L8" s="10" t="s">
        <v>63</v>
      </c>
      <c r="M8" s="11">
        <f>K8*D8*H8*I7*J8</f>
        <v>57.800000000000004</v>
      </c>
      <c r="N8" s="10" t="s">
        <v>63</v>
      </c>
      <c r="O8" s="8">
        <f>K8*TAN(ACOS(F8))</f>
        <v>44.776528449624138</v>
      </c>
      <c r="P8" s="9" t="s">
        <v>64</v>
      </c>
      <c r="Q8" s="8">
        <f>(K8*TAN(ACOS(F8)))*D8*H8*I7*J8</f>
        <v>35.82122275969931</v>
      </c>
      <c r="R8" s="9" t="s">
        <v>64</v>
      </c>
      <c r="S8" s="8">
        <v>85</v>
      </c>
      <c r="T8" s="9" t="s">
        <v>65</v>
      </c>
      <c r="U8" s="8">
        <f>S8*D8*H8*I7*J8</f>
        <v>68</v>
      </c>
      <c r="V8" s="9" t="s">
        <v>65</v>
      </c>
      <c r="W8" s="15"/>
      <c r="X8" s="32"/>
      <c r="Y8" s="37"/>
      <c r="Z8" s="35"/>
    </row>
    <row r="9" spans="1:26" x14ac:dyDescent="0.25">
      <c r="A9" s="33" t="s">
        <v>12</v>
      </c>
      <c r="B9" s="33"/>
      <c r="C9" s="33"/>
      <c r="D9" s="21">
        <v>1</v>
      </c>
      <c r="E9" s="21"/>
      <c r="F9" s="21">
        <v>0.85</v>
      </c>
      <c r="G9" s="21"/>
      <c r="H9" s="6">
        <v>1</v>
      </c>
      <c r="I9" s="22"/>
      <c r="J9" s="6">
        <v>0.8</v>
      </c>
      <c r="K9" s="11">
        <f t="shared" ref="K9:K12" si="0">S9*F9</f>
        <v>72.25</v>
      </c>
      <c r="L9" s="10" t="s">
        <v>63</v>
      </c>
      <c r="M9" s="11">
        <f>K9*D9*H9*I7*J9</f>
        <v>57.800000000000004</v>
      </c>
      <c r="N9" s="10" t="s">
        <v>63</v>
      </c>
      <c r="O9" s="8">
        <f t="shared" ref="O9:O12" si="1">K9*TAN(ACOS(F9))</f>
        <v>44.776528449624138</v>
      </c>
      <c r="P9" s="9" t="s">
        <v>64</v>
      </c>
      <c r="Q9" s="8">
        <f>(K9*TAN(ACOS(F9)))*D9*H9*I7*J9</f>
        <v>35.82122275969931</v>
      </c>
      <c r="R9" s="9" t="s">
        <v>64</v>
      </c>
      <c r="S9" s="8">
        <v>85</v>
      </c>
      <c r="T9" s="9" t="s">
        <v>65</v>
      </c>
      <c r="U9" s="8">
        <f>S9*D9*H9*I7*J9</f>
        <v>68</v>
      </c>
      <c r="V9" s="9" t="s">
        <v>65</v>
      </c>
      <c r="W9" s="15"/>
      <c r="X9" s="32" t="s">
        <v>67</v>
      </c>
      <c r="Y9" s="36">
        <f>SUM(Q7:Q12)</f>
        <v>187.21560312190155</v>
      </c>
      <c r="Z9" s="34" t="s">
        <v>64</v>
      </c>
    </row>
    <row r="10" spans="1:26" x14ac:dyDescent="0.25">
      <c r="A10" s="33" t="s">
        <v>13</v>
      </c>
      <c r="B10" s="33"/>
      <c r="C10" s="33"/>
      <c r="D10" s="21">
        <v>1</v>
      </c>
      <c r="E10" s="21"/>
      <c r="F10" s="21">
        <v>0.85</v>
      </c>
      <c r="G10" s="21"/>
      <c r="H10" s="6">
        <v>1</v>
      </c>
      <c r="I10" s="22"/>
      <c r="J10" s="6">
        <v>0.8</v>
      </c>
      <c r="K10" s="11">
        <f t="shared" si="0"/>
        <v>72.25</v>
      </c>
      <c r="L10" s="10" t="s">
        <v>63</v>
      </c>
      <c r="M10" s="11">
        <f>K10*D10*H10*I7*J10</f>
        <v>57.800000000000004</v>
      </c>
      <c r="N10" s="10" t="s">
        <v>63</v>
      </c>
      <c r="O10" s="8">
        <f t="shared" si="1"/>
        <v>44.776528449624138</v>
      </c>
      <c r="P10" s="9" t="s">
        <v>64</v>
      </c>
      <c r="Q10" s="8">
        <f>(K10*TAN(ACOS(F10)))*D10*H10*I7*J10</f>
        <v>35.82122275969931</v>
      </c>
      <c r="R10" s="9" t="s">
        <v>64</v>
      </c>
      <c r="S10" s="8">
        <v>85</v>
      </c>
      <c r="T10" s="9" t="s">
        <v>65</v>
      </c>
      <c r="U10" s="8">
        <f>S10*D10*H10*I7*J10</f>
        <v>68</v>
      </c>
      <c r="V10" s="9" t="s">
        <v>65</v>
      </c>
      <c r="W10" s="15"/>
      <c r="X10" s="32"/>
      <c r="Y10" s="38"/>
      <c r="Z10" s="35"/>
    </row>
    <row r="11" spans="1:26" x14ac:dyDescent="0.25">
      <c r="A11" s="33" t="s">
        <v>14</v>
      </c>
      <c r="B11" s="33"/>
      <c r="C11" s="33"/>
      <c r="D11" s="21">
        <v>1</v>
      </c>
      <c r="E11" s="21"/>
      <c r="F11" s="21">
        <v>0.85</v>
      </c>
      <c r="G11" s="21"/>
      <c r="H11" s="6">
        <v>1</v>
      </c>
      <c r="I11" s="22"/>
      <c r="J11" s="6">
        <v>0.8</v>
      </c>
      <c r="K11" s="11">
        <f t="shared" si="0"/>
        <v>72.25</v>
      </c>
      <c r="L11" s="10" t="s">
        <v>63</v>
      </c>
      <c r="M11" s="11">
        <f>K11*D11*H11*I7*J11</f>
        <v>57.800000000000004</v>
      </c>
      <c r="N11" s="10" t="s">
        <v>63</v>
      </c>
      <c r="O11" s="8">
        <f t="shared" si="1"/>
        <v>44.776528449624138</v>
      </c>
      <c r="P11" s="9" t="s">
        <v>64</v>
      </c>
      <c r="Q11" s="8">
        <f>(K11*TAN(ACOS(F11)))*D11*H11*I7*J11</f>
        <v>35.82122275969931</v>
      </c>
      <c r="R11" s="9" t="s">
        <v>64</v>
      </c>
      <c r="S11" s="8">
        <v>85</v>
      </c>
      <c r="T11" s="9" t="s">
        <v>65</v>
      </c>
      <c r="U11" s="8">
        <f>S11*D11*H11*I7*J11</f>
        <v>68</v>
      </c>
      <c r="V11" s="9" t="s">
        <v>65</v>
      </c>
      <c r="W11" s="15"/>
      <c r="X11" s="32" t="s">
        <v>73</v>
      </c>
      <c r="Y11" s="36">
        <f>SUM(U7:U12)</f>
        <v>358.60444444444443</v>
      </c>
      <c r="Z11" s="34" t="s">
        <v>65</v>
      </c>
    </row>
    <row r="12" spans="1:26" x14ac:dyDescent="0.25">
      <c r="A12" s="33" t="s">
        <v>15</v>
      </c>
      <c r="B12" s="33"/>
      <c r="C12" s="33"/>
      <c r="D12" s="21">
        <v>1</v>
      </c>
      <c r="E12" s="21"/>
      <c r="F12" s="21">
        <v>0.85</v>
      </c>
      <c r="G12" s="21"/>
      <c r="H12" s="6">
        <v>1</v>
      </c>
      <c r="I12" s="22"/>
      <c r="J12" s="6">
        <v>0.8</v>
      </c>
      <c r="K12" s="11">
        <f t="shared" si="0"/>
        <v>72.25</v>
      </c>
      <c r="L12" s="10" t="s">
        <v>63</v>
      </c>
      <c r="M12" s="11">
        <f>K12*D12*H12*I7*J12</f>
        <v>57.800000000000004</v>
      </c>
      <c r="N12" s="10" t="s">
        <v>63</v>
      </c>
      <c r="O12" s="8">
        <f t="shared" si="1"/>
        <v>44.776528449624138</v>
      </c>
      <c r="P12" s="9" t="s">
        <v>64</v>
      </c>
      <c r="Q12" s="8">
        <f>(K12*TAN(ACOS(F12)))*D12*H12*I7*J12</f>
        <v>35.82122275969931</v>
      </c>
      <c r="R12" s="9" t="s">
        <v>64</v>
      </c>
      <c r="S12" s="8">
        <v>85</v>
      </c>
      <c r="T12" s="9" t="s">
        <v>65</v>
      </c>
      <c r="U12" s="8">
        <f>S12*D12*H12*I7*J12</f>
        <v>68</v>
      </c>
      <c r="V12" s="9" t="s">
        <v>65</v>
      </c>
      <c r="W12" s="15"/>
      <c r="X12" s="32"/>
      <c r="Y12" s="39"/>
      <c r="Z12" s="40"/>
    </row>
    <row r="13" spans="1:26" x14ac:dyDescent="0.25">
      <c r="W13" s="15"/>
      <c r="X13" s="1"/>
      <c r="Y13" s="1"/>
      <c r="Z13" s="17"/>
    </row>
    <row r="14" spans="1:26" x14ac:dyDescent="0.25">
      <c r="W14" s="15"/>
      <c r="X14" s="44" t="s">
        <v>74</v>
      </c>
      <c r="Y14" s="44"/>
      <c r="Z14" s="44"/>
    </row>
    <row r="15" spans="1:26" x14ac:dyDescent="0.25">
      <c r="S15" s="12"/>
      <c r="T15" s="13"/>
      <c r="W15" s="15"/>
      <c r="X15" s="42" t="s">
        <v>57</v>
      </c>
      <c r="Y15" s="42"/>
      <c r="Z15" s="43">
        <v>7</v>
      </c>
    </row>
    <row r="16" spans="1:26" x14ac:dyDescent="0.25">
      <c r="S16" s="12"/>
      <c r="T16" s="13"/>
      <c r="W16" s="15"/>
      <c r="X16" s="42"/>
      <c r="Y16" s="42"/>
      <c r="Z16" s="43"/>
    </row>
    <row r="17" spans="19:27" ht="15" customHeight="1" x14ac:dyDescent="0.25">
      <c r="S17" s="12"/>
      <c r="T17" s="13"/>
      <c r="W17" s="15"/>
      <c r="X17" s="26" t="s">
        <v>71</v>
      </c>
      <c r="Y17" s="27"/>
      <c r="Z17" s="23">
        <f>IF(Z15&gt;=10,0.6,IF(Z15&gt;=6,0.7,IF(Z15&lt;6,0.8)))</f>
        <v>0.7</v>
      </c>
    </row>
    <row r="18" spans="19:27" x14ac:dyDescent="0.25">
      <c r="S18" s="12"/>
      <c r="T18" s="13"/>
      <c r="W18" s="15"/>
      <c r="X18" s="28"/>
      <c r="Y18" s="29"/>
      <c r="Z18" s="24"/>
    </row>
    <row r="19" spans="19:27" ht="15" customHeight="1" x14ac:dyDescent="0.25">
      <c r="S19" s="12"/>
      <c r="T19" s="13"/>
      <c r="W19" s="15"/>
      <c r="X19" s="30"/>
      <c r="Y19" s="31"/>
      <c r="Z19" s="25"/>
    </row>
    <row r="20" spans="19:27" x14ac:dyDescent="0.25">
      <c r="S20" s="12"/>
      <c r="T20" s="13"/>
      <c r="W20" s="15"/>
      <c r="X20" s="41" t="s">
        <v>68</v>
      </c>
      <c r="Y20" s="36">
        <f>Y7*Z17</f>
        <v>214.02080000000001</v>
      </c>
      <c r="Z20" s="34" t="s">
        <v>63</v>
      </c>
      <c r="AA20" s="20">
        <f>Y20</f>
        <v>214.02080000000001</v>
      </c>
    </row>
    <row r="21" spans="19:27" ht="15" customHeight="1" x14ac:dyDescent="0.25">
      <c r="S21" s="12"/>
      <c r="T21" s="13"/>
      <c r="W21" s="15"/>
      <c r="X21" s="41"/>
      <c r="Y21" s="45"/>
      <c r="Z21" s="40"/>
    </row>
    <row r="22" spans="19:27" x14ac:dyDescent="0.25">
      <c r="S22" s="12"/>
      <c r="T22" s="13"/>
      <c r="W22" s="15"/>
      <c r="X22" s="41" t="s">
        <v>69</v>
      </c>
      <c r="Y22" s="36">
        <f>Y9*Z17</f>
        <v>131.05092218533107</v>
      </c>
      <c r="Z22" s="34" t="s">
        <v>64</v>
      </c>
      <c r="AA22" s="20">
        <f>Y22</f>
        <v>131.05092218533107</v>
      </c>
    </row>
    <row r="23" spans="19:27" ht="15" customHeight="1" x14ac:dyDescent="0.25">
      <c r="S23" s="12"/>
      <c r="T23" s="13"/>
      <c r="W23" s="15"/>
      <c r="X23" s="41"/>
      <c r="Y23" s="45"/>
      <c r="Z23" s="40"/>
    </row>
    <row r="24" spans="19:27" x14ac:dyDescent="0.25">
      <c r="W24" s="15"/>
      <c r="X24" s="41" t="s">
        <v>70</v>
      </c>
      <c r="Y24" s="36">
        <f>Y11*Z17</f>
        <v>251.02311111111109</v>
      </c>
      <c r="Z24" s="34" t="s">
        <v>65</v>
      </c>
      <c r="AA24" s="20">
        <f>Y24</f>
        <v>251.02311111111109</v>
      </c>
    </row>
    <row r="25" spans="19:27" ht="15" customHeight="1" x14ac:dyDescent="0.25">
      <c r="W25" s="16"/>
      <c r="X25" s="41"/>
      <c r="Y25" s="45"/>
      <c r="Z25" s="40"/>
    </row>
  </sheetData>
  <mergeCells count="57">
    <mergeCell ref="Z24:Z25"/>
    <mergeCell ref="X17:Y19"/>
    <mergeCell ref="Z17:Z19"/>
    <mergeCell ref="X20:X21"/>
    <mergeCell ref="Y20:Y21"/>
    <mergeCell ref="Z20:Z21"/>
    <mergeCell ref="X22:X23"/>
    <mergeCell ref="Y22:Y23"/>
    <mergeCell ref="Z22:Z23"/>
    <mergeCell ref="A10:C10"/>
    <mergeCell ref="D10:E10"/>
    <mergeCell ref="F10:G10"/>
    <mergeCell ref="X24:X25"/>
    <mergeCell ref="Y24:Y25"/>
    <mergeCell ref="X14:Z14"/>
    <mergeCell ref="X15:Y16"/>
    <mergeCell ref="Z15:Z16"/>
    <mergeCell ref="X11:X12"/>
    <mergeCell ref="Y11:Y12"/>
    <mergeCell ref="Z11:Z12"/>
    <mergeCell ref="A11:C11"/>
    <mergeCell ref="D11:E11"/>
    <mergeCell ref="F11:G11"/>
    <mergeCell ref="A12:C12"/>
    <mergeCell ref="D12:E12"/>
    <mergeCell ref="F12:G12"/>
    <mergeCell ref="D8:E8"/>
    <mergeCell ref="F8:G8"/>
    <mergeCell ref="X9:X10"/>
    <mergeCell ref="Y9:Y10"/>
    <mergeCell ref="Z9:Z10"/>
    <mergeCell ref="Z7:Z8"/>
    <mergeCell ref="A7:C7"/>
    <mergeCell ref="D7:E7"/>
    <mergeCell ref="F7:G7"/>
    <mergeCell ref="M6:N6"/>
    <mergeCell ref="O6:P6"/>
    <mergeCell ref="Q6:R6"/>
    <mergeCell ref="S6:T6"/>
    <mergeCell ref="U6:V6"/>
    <mergeCell ref="I7:I12"/>
    <mergeCell ref="A9:C9"/>
    <mergeCell ref="D9:E9"/>
    <mergeCell ref="F9:G9"/>
    <mergeCell ref="X7:X8"/>
    <mergeCell ref="Y7:Y8"/>
    <mergeCell ref="A8:C8"/>
    <mergeCell ref="A1:Z4"/>
    <mergeCell ref="A5:C6"/>
    <mergeCell ref="D5:E6"/>
    <mergeCell ref="F5:G6"/>
    <mergeCell ref="H5:J5"/>
    <mergeCell ref="K5:N5"/>
    <mergeCell ref="O5:R5"/>
    <mergeCell ref="S5:V5"/>
    <mergeCell ref="X5:Z6"/>
    <mergeCell ref="K6:L6"/>
  </mergeCells>
  <pageMargins left="0.7" right="0.7" top="0.75" bottom="0.75" header="0.3" footer="0.3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C570-D679-46A1-A63B-27305C2A072E}">
  <sheetPr>
    <tabColor theme="2" tint="-0.499984740745262"/>
    <pageSetUpPr fitToPage="1"/>
  </sheetPr>
  <dimension ref="A1:AA25"/>
  <sheetViews>
    <sheetView topLeftCell="A2" zoomScale="70" zoomScaleNormal="70" workbookViewId="0">
      <selection activeCell="U20" sqref="U20"/>
    </sheetView>
  </sheetViews>
  <sheetFormatPr defaultRowHeight="15" x14ac:dyDescent="0.25"/>
  <cols>
    <col min="23" max="23" width="4.140625" customWidth="1"/>
    <col min="24" max="24" width="10.140625" customWidth="1"/>
    <col min="27" max="27" width="0" hidden="1" customWidth="1"/>
  </cols>
  <sheetData>
    <row r="1" spans="1:26" ht="15" customHeight="1" x14ac:dyDescent="0.25">
      <c r="A1" s="47" t="s">
        <v>86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3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50" t="s">
        <v>2</v>
      </c>
      <c r="B5" s="51"/>
      <c r="C5" s="52"/>
      <c r="D5" s="50" t="s">
        <v>1</v>
      </c>
      <c r="E5" s="52"/>
      <c r="F5" s="42" t="s">
        <v>62</v>
      </c>
      <c r="G5" s="42"/>
      <c r="H5" s="48" t="s">
        <v>56</v>
      </c>
      <c r="I5" s="48"/>
      <c r="J5" s="48"/>
      <c r="K5" s="48" t="s">
        <v>66</v>
      </c>
      <c r="L5" s="48"/>
      <c r="M5" s="48"/>
      <c r="N5" s="48"/>
      <c r="O5" s="48" t="s">
        <v>67</v>
      </c>
      <c r="P5" s="48"/>
      <c r="Q5" s="48"/>
      <c r="R5" s="48"/>
      <c r="S5" s="48" t="s">
        <v>73</v>
      </c>
      <c r="T5" s="48"/>
      <c r="U5" s="48"/>
      <c r="V5" s="48"/>
      <c r="W5" s="7"/>
      <c r="X5" s="46" t="s">
        <v>72</v>
      </c>
      <c r="Y5" s="46"/>
      <c r="Z5" s="46"/>
    </row>
    <row r="6" spans="1:26" ht="94.5" customHeight="1" x14ac:dyDescent="0.25">
      <c r="A6" s="53"/>
      <c r="B6" s="54"/>
      <c r="C6" s="55"/>
      <c r="D6" s="53"/>
      <c r="E6" s="55"/>
      <c r="F6" s="42"/>
      <c r="G6" s="42"/>
      <c r="H6" s="2" t="s">
        <v>59</v>
      </c>
      <c r="I6" s="2" t="s">
        <v>60</v>
      </c>
      <c r="J6" s="3" t="s">
        <v>61</v>
      </c>
      <c r="K6" s="43" t="s">
        <v>54</v>
      </c>
      <c r="L6" s="43"/>
      <c r="M6" s="43" t="s">
        <v>55</v>
      </c>
      <c r="N6" s="43"/>
      <c r="O6" s="43" t="s">
        <v>54</v>
      </c>
      <c r="P6" s="43"/>
      <c r="Q6" s="43" t="s">
        <v>55</v>
      </c>
      <c r="R6" s="43"/>
      <c r="S6" s="43" t="s">
        <v>54</v>
      </c>
      <c r="T6" s="43"/>
      <c r="U6" s="43" t="s">
        <v>55</v>
      </c>
      <c r="V6" s="49"/>
      <c r="W6" s="14"/>
      <c r="X6" s="46"/>
      <c r="Y6" s="46"/>
      <c r="Z6" s="46"/>
    </row>
    <row r="7" spans="1:26" x14ac:dyDescent="0.25">
      <c r="A7" s="33" t="s">
        <v>53</v>
      </c>
      <c r="B7" s="33"/>
      <c r="C7" s="33"/>
      <c r="D7" s="21">
        <v>1</v>
      </c>
      <c r="E7" s="21"/>
      <c r="F7" s="21">
        <v>0.9</v>
      </c>
      <c r="G7" s="21"/>
      <c r="H7" s="6">
        <f>0.1+(0.9/(D7*2))</f>
        <v>0.55000000000000004</v>
      </c>
      <c r="I7" s="56">
        <v>1</v>
      </c>
      <c r="J7" s="6">
        <v>1</v>
      </c>
      <c r="K7" s="11">
        <f>((230*16)/1000)+(((230*SQRT(3))*32*SQRT(3))/1000)</f>
        <v>25.759999999999998</v>
      </c>
      <c r="L7" s="10" t="s">
        <v>63</v>
      </c>
      <c r="M7" s="11">
        <f>K7*D7*H7*I7*J7</f>
        <v>14.167999999999999</v>
      </c>
      <c r="N7" s="10" t="s">
        <v>63</v>
      </c>
      <c r="O7" s="8">
        <f>K7*TAN(ACOS(F7))</f>
        <v>12.476137420623081</v>
      </c>
      <c r="P7" s="9" t="s">
        <v>64</v>
      </c>
      <c r="Q7" s="8">
        <f>(K7*TAN(ACOS(F7)))*D7*H7*I7*J7</f>
        <v>6.8618755813426953</v>
      </c>
      <c r="R7" s="9" t="s">
        <v>64</v>
      </c>
      <c r="S7" s="8">
        <f>K7/F7</f>
        <v>28.62222222222222</v>
      </c>
      <c r="T7" s="9" t="s">
        <v>65</v>
      </c>
      <c r="U7" s="8">
        <f>S7*D7*H7*I7*J7</f>
        <v>15.742222222222223</v>
      </c>
      <c r="V7" s="9" t="s">
        <v>65</v>
      </c>
      <c r="W7" s="15"/>
      <c r="X7" s="32" t="s">
        <v>66</v>
      </c>
      <c r="Y7" s="36">
        <f>SUM(M7:M11)</f>
        <v>245.36800000000002</v>
      </c>
      <c r="Z7" s="34" t="s">
        <v>63</v>
      </c>
    </row>
    <row r="8" spans="1:26" x14ac:dyDescent="0.25">
      <c r="A8" s="33" t="s">
        <v>23</v>
      </c>
      <c r="B8" s="33"/>
      <c r="C8" s="33"/>
      <c r="D8" s="21">
        <v>1</v>
      </c>
      <c r="E8" s="21"/>
      <c r="F8" s="21">
        <v>0.85</v>
      </c>
      <c r="G8" s="21"/>
      <c r="H8" s="6">
        <v>1</v>
      </c>
      <c r="I8" s="57"/>
      <c r="J8" s="6">
        <v>0.8</v>
      </c>
      <c r="K8" s="11">
        <f>S8*F8</f>
        <v>72.25</v>
      </c>
      <c r="L8" s="10" t="s">
        <v>63</v>
      </c>
      <c r="M8" s="11">
        <f>K8*D8*H8*I7*J8</f>
        <v>57.800000000000004</v>
      </c>
      <c r="N8" s="10" t="s">
        <v>63</v>
      </c>
      <c r="O8" s="8">
        <f>K8*TAN(ACOS(F8))</f>
        <v>44.776528449624138</v>
      </c>
      <c r="P8" s="9" t="s">
        <v>64</v>
      </c>
      <c r="Q8" s="8">
        <f>(K8*TAN(ACOS(F8)))*D8*H8*I7*J8</f>
        <v>35.82122275969931</v>
      </c>
      <c r="R8" s="9" t="s">
        <v>64</v>
      </c>
      <c r="S8" s="8">
        <v>85</v>
      </c>
      <c r="T8" s="9" t="s">
        <v>65</v>
      </c>
      <c r="U8" s="8">
        <f>S8*D8*H8*I7*J8</f>
        <v>68</v>
      </c>
      <c r="V8" s="9" t="s">
        <v>65</v>
      </c>
      <c r="W8" s="15"/>
      <c r="X8" s="32"/>
      <c r="Y8" s="37"/>
      <c r="Z8" s="35"/>
    </row>
    <row r="9" spans="1:26" x14ac:dyDescent="0.25">
      <c r="A9" s="33" t="s">
        <v>24</v>
      </c>
      <c r="B9" s="33"/>
      <c r="C9" s="33"/>
      <c r="D9" s="21">
        <v>1</v>
      </c>
      <c r="E9" s="21"/>
      <c r="F9" s="21">
        <v>0.85</v>
      </c>
      <c r="G9" s="21"/>
      <c r="H9" s="6">
        <v>1</v>
      </c>
      <c r="I9" s="57"/>
      <c r="J9" s="6">
        <v>0.8</v>
      </c>
      <c r="K9" s="11">
        <f t="shared" ref="K9:K11" si="0">S9*F9</f>
        <v>72.25</v>
      </c>
      <c r="L9" s="10" t="s">
        <v>63</v>
      </c>
      <c r="M9" s="11">
        <f>K9*D9*H9*I7*J9</f>
        <v>57.800000000000004</v>
      </c>
      <c r="N9" s="10" t="s">
        <v>63</v>
      </c>
      <c r="O9" s="8">
        <f t="shared" ref="O9:O11" si="1">K9*TAN(ACOS(F9))</f>
        <v>44.776528449624138</v>
      </c>
      <c r="P9" s="9" t="s">
        <v>64</v>
      </c>
      <c r="Q9" s="8">
        <f>(K9*TAN(ACOS(F9)))*D9*H9*I7*J9</f>
        <v>35.82122275969931</v>
      </c>
      <c r="R9" s="9" t="s">
        <v>64</v>
      </c>
      <c r="S9" s="8">
        <v>85</v>
      </c>
      <c r="T9" s="9" t="s">
        <v>65</v>
      </c>
      <c r="U9" s="8">
        <f>S9*D9*H9*I7*J9</f>
        <v>68</v>
      </c>
      <c r="V9" s="9" t="s">
        <v>65</v>
      </c>
      <c r="W9" s="15"/>
      <c r="X9" s="32" t="s">
        <v>67</v>
      </c>
      <c r="Y9" s="36">
        <f>SUM(Q7:Q11)</f>
        <v>150.14676662013994</v>
      </c>
      <c r="Z9" s="34" t="s">
        <v>64</v>
      </c>
    </row>
    <row r="10" spans="1:26" x14ac:dyDescent="0.25">
      <c r="A10" s="33" t="s">
        <v>25</v>
      </c>
      <c r="B10" s="33"/>
      <c r="C10" s="33"/>
      <c r="D10" s="21">
        <v>1</v>
      </c>
      <c r="E10" s="21"/>
      <c r="F10" s="21">
        <v>0.85</v>
      </c>
      <c r="G10" s="21"/>
      <c r="H10" s="6">
        <v>1</v>
      </c>
      <c r="I10" s="57"/>
      <c r="J10" s="6">
        <v>0.8</v>
      </c>
      <c r="K10" s="11">
        <f t="shared" si="0"/>
        <v>72.25</v>
      </c>
      <c r="L10" s="10" t="s">
        <v>63</v>
      </c>
      <c r="M10" s="11">
        <f>K10*D10*H10*I7*J10</f>
        <v>57.800000000000004</v>
      </c>
      <c r="N10" s="10" t="s">
        <v>63</v>
      </c>
      <c r="O10" s="8">
        <f t="shared" si="1"/>
        <v>44.776528449624138</v>
      </c>
      <c r="P10" s="9" t="s">
        <v>64</v>
      </c>
      <c r="Q10" s="8">
        <f>(K10*TAN(ACOS(F10)))*D10*H10*I7*J10</f>
        <v>35.82122275969931</v>
      </c>
      <c r="R10" s="9" t="s">
        <v>64</v>
      </c>
      <c r="S10" s="8">
        <v>85</v>
      </c>
      <c r="T10" s="9" t="s">
        <v>65</v>
      </c>
      <c r="U10" s="8">
        <f>S10*D10*H10*I7*J10</f>
        <v>68</v>
      </c>
      <c r="V10" s="9" t="s">
        <v>65</v>
      </c>
      <c r="W10" s="15"/>
      <c r="X10" s="32"/>
      <c r="Y10" s="38"/>
      <c r="Z10" s="35"/>
    </row>
    <row r="11" spans="1:26" x14ac:dyDescent="0.25">
      <c r="A11" s="33" t="s">
        <v>26</v>
      </c>
      <c r="B11" s="33"/>
      <c r="C11" s="33"/>
      <c r="D11" s="21">
        <v>1</v>
      </c>
      <c r="E11" s="21"/>
      <c r="F11" s="21">
        <v>0.85</v>
      </c>
      <c r="G11" s="21"/>
      <c r="H11" s="6">
        <v>1</v>
      </c>
      <c r="I11" s="58"/>
      <c r="J11" s="6">
        <v>0.8</v>
      </c>
      <c r="K11" s="11">
        <f t="shared" si="0"/>
        <v>72.25</v>
      </c>
      <c r="L11" s="10" t="s">
        <v>63</v>
      </c>
      <c r="M11" s="11">
        <f>K11*D11*H11*I7*J11</f>
        <v>57.800000000000004</v>
      </c>
      <c r="N11" s="10" t="s">
        <v>63</v>
      </c>
      <c r="O11" s="8">
        <f t="shared" si="1"/>
        <v>44.776528449624138</v>
      </c>
      <c r="P11" s="9" t="s">
        <v>64</v>
      </c>
      <c r="Q11" s="8">
        <f>(K11*TAN(ACOS(F11)))*D11*H11*I7*J11</f>
        <v>35.82122275969931</v>
      </c>
      <c r="R11" s="9" t="s">
        <v>64</v>
      </c>
      <c r="S11" s="8">
        <v>85</v>
      </c>
      <c r="T11" s="9" t="s">
        <v>65</v>
      </c>
      <c r="U11" s="8">
        <f>S11*D11*H11*I7*J11</f>
        <v>68</v>
      </c>
      <c r="V11" s="9" t="s">
        <v>65</v>
      </c>
      <c r="W11" s="15"/>
      <c r="X11" s="32" t="s">
        <v>73</v>
      </c>
      <c r="Y11" s="36">
        <f>SUM(U7:U11)</f>
        <v>287.74222222222221</v>
      </c>
      <c r="Z11" s="34" t="s">
        <v>65</v>
      </c>
    </row>
    <row r="12" spans="1:26" x14ac:dyDescent="0.25">
      <c r="W12" s="15"/>
      <c r="X12" s="32"/>
      <c r="Y12" s="39"/>
      <c r="Z12" s="40"/>
    </row>
    <row r="13" spans="1:26" x14ac:dyDescent="0.25">
      <c r="W13" s="15"/>
      <c r="X13" s="1"/>
      <c r="Y13" s="1"/>
      <c r="Z13" s="17"/>
    </row>
    <row r="14" spans="1:26" x14ac:dyDescent="0.25">
      <c r="S14" s="12"/>
      <c r="T14" s="13"/>
      <c r="W14" s="15"/>
      <c r="X14" s="44" t="s">
        <v>75</v>
      </c>
      <c r="Y14" s="44"/>
      <c r="Z14" s="44"/>
    </row>
    <row r="15" spans="1:26" x14ac:dyDescent="0.25">
      <c r="S15" s="12"/>
      <c r="T15" s="13"/>
      <c r="W15" s="15"/>
      <c r="X15" s="42" t="s">
        <v>57</v>
      </c>
      <c r="Y15" s="42"/>
      <c r="Z15" s="43">
        <v>5</v>
      </c>
    </row>
    <row r="16" spans="1:26" x14ac:dyDescent="0.25">
      <c r="S16" s="12"/>
      <c r="T16" s="13"/>
      <c r="W16" s="15"/>
      <c r="X16" s="42"/>
      <c r="Y16" s="42"/>
      <c r="Z16" s="43"/>
    </row>
    <row r="17" spans="19:27" ht="15" customHeight="1" x14ac:dyDescent="0.25">
      <c r="S17" s="12"/>
      <c r="T17" s="13"/>
      <c r="W17" s="15"/>
      <c r="X17" s="26" t="s">
        <v>71</v>
      </c>
      <c r="Y17" s="27"/>
      <c r="Z17" s="23">
        <f>IF(Z15&gt;=10,0.6,IF(Z15&gt;=6,0.7,IF(Z15&lt;6,0.8)))</f>
        <v>0.8</v>
      </c>
    </row>
    <row r="18" spans="19:27" x14ac:dyDescent="0.25">
      <c r="S18" s="12"/>
      <c r="T18" s="13"/>
      <c r="W18" s="15"/>
      <c r="X18" s="28"/>
      <c r="Y18" s="29"/>
      <c r="Z18" s="24"/>
    </row>
    <row r="19" spans="19:27" ht="15" customHeight="1" x14ac:dyDescent="0.25">
      <c r="S19" s="12"/>
      <c r="T19" s="13"/>
      <c r="W19" s="15"/>
      <c r="X19" s="30"/>
      <c r="Y19" s="31"/>
      <c r="Z19" s="25"/>
    </row>
    <row r="20" spans="19:27" x14ac:dyDescent="0.25">
      <c r="S20" s="12"/>
      <c r="T20" s="13"/>
      <c r="W20" s="15"/>
      <c r="X20" s="41" t="s">
        <v>68</v>
      </c>
      <c r="Y20" s="36">
        <f>Y7*Z17</f>
        <v>196.29440000000002</v>
      </c>
      <c r="Z20" s="34" t="s">
        <v>63</v>
      </c>
      <c r="AA20" s="20">
        <f>Y20</f>
        <v>196.29440000000002</v>
      </c>
    </row>
    <row r="21" spans="19:27" ht="15" customHeight="1" x14ac:dyDescent="0.25">
      <c r="S21" s="12"/>
      <c r="T21" s="13"/>
      <c r="W21" s="15"/>
      <c r="X21" s="41"/>
      <c r="Y21" s="45"/>
      <c r="Z21" s="40"/>
    </row>
    <row r="22" spans="19:27" x14ac:dyDescent="0.25">
      <c r="S22" s="12"/>
      <c r="T22" s="13"/>
      <c r="W22" s="15"/>
      <c r="X22" s="41" t="s">
        <v>69</v>
      </c>
      <c r="Y22" s="36">
        <f>Y9*Z17</f>
        <v>120.11741329611196</v>
      </c>
      <c r="Z22" s="34" t="s">
        <v>64</v>
      </c>
      <c r="AA22" s="20">
        <f>Y22</f>
        <v>120.11741329611196</v>
      </c>
    </row>
    <row r="23" spans="19:27" ht="15" customHeight="1" x14ac:dyDescent="0.25">
      <c r="W23" s="15"/>
      <c r="X23" s="41"/>
      <c r="Y23" s="45"/>
      <c r="Z23" s="40"/>
    </row>
    <row r="24" spans="19:27" x14ac:dyDescent="0.25">
      <c r="W24" s="15"/>
      <c r="X24" s="41" t="s">
        <v>70</v>
      </c>
      <c r="Y24" s="36">
        <f>Y11*Z17</f>
        <v>230.19377777777777</v>
      </c>
      <c r="Z24" s="34" t="s">
        <v>65</v>
      </c>
      <c r="AA24" s="20">
        <f>Y24</f>
        <v>230.19377777777777</v>
      </c>
    </row>
    <row r="25" spans="19:27" ht="15" customHeight="1" x14ac:dyDescent="0.25">
      <c r="W25" s="16"/>
      <c r="X25" s="41"/>
      <c r="Y25" s="45"/>
      <c r="Z25" s="40"/>
    </row>
  </sheetData>
  <mergeCells count="54">
    <mergeCell ref="X14:Z14"/>
    <mergeCell ref="X15:Y16"/>
    <mergeCell ref="Z15:Z16"/>
    <mergeCell ref="Z11:Z12"/>
    <mergeCell ref="X24:X25"/>
    <mergeCell ref="Y24:Y25"/>
    <mergeCell ref="Z24:Z25"/>
    <mergeCell ref="X17:Y19"/>
    <mergeCell ref="Z17:Z19"/>
    <mergeCell ref="X20:X21"/>
    <mergeCell ref="Y20:Y21"/>
    <mergeCell ref="Z20:Z21"/>
    <mergeCell ref="X22:X23"/>
    <mergeCell ref="Y22:Y23"/>
    <mergeCell ref="Z22:Z23"/>
    <mergeCell ref="A10:C10"/>
    <mergeCell ref="D10:E10"/>
    <mergeCell ref="F10:G10"/>
    <mergeCell ref="X11:X12"/>
    <mergeCell ref="Y11:Y12"/>
    <mergeCell ref="A11:C11"/>
    <mergeCell ref="D11:E11"/>
    <mergeCell ref="F11:G11"/>
    <mergeCell ref="D8:E8"/>
    <mergeCell ref="F8:G8"/>
    <mergeCell ref="X9:X10"/>
    <mergeCell ref="Y9:Y10"/>
    <mergeCell ref="Z9:Z10"/>
    <mergeCell ref="Z7:Z8"/>
    <mergeCell ref="A7:C7"/>
    <mergeCell ref="D7:E7"/>
    <mergeCell ref="F7:G7"/>
    <mergeCell ref="M6:N6"/>
    <mergeCell ref="O6:P6"/>
    <mergeCell ref="Q6:R6"/>
    <mergeCell ref="S6:T6"/>
    <mergeCell ref="U6:V6"/>
    <mergeCell ref="I7:I11"/>
    <mergeCell ref="A9:C9"/>
    <mergeCell ref="D9:E9"/>
    <mergeCell ref="F9:G9"/>
    <mergeCell ref="X7:X8"/>
    <mergeCell ref="Y7:Y8"/>
    <mergeCell ref="A8:C8"/>
    <mergeCell ref="A1:Z4"/>
    <mergeCell ref="A5:C6"/>
    <mergeCell ref="D5:E6"/>
    <mergeCell ref="F5:G6"/>
    <mergeCell ref="H5:J5"/>
    <mergeCell ref="K5:N5"/>
    <mergeCell ref="O5:R5"/>
    <mergeCell ref="S5:V5"/>
    <mergeCell ref="X5:Z6"/>
    <mergeCell ref="K6:L6"/>
  </mergeCells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A5CD-1608-48C1-B13F-D25D7F0EB242}">
  <sheetPr>
    <tabColor theme="2" tint="-0.499984740745262"/>
    <pageSetUpPr fitToPage="1"/>
  </sheetPr>
  <dimension ref="A1:AA25"/>
  <sheetViews>
    <sheetView topLeftCell="A4" zoomScale="70" zoomScaleNormal="70" workbookViewId="0">
      <selection activeCell="Y11" sqref="Y11:Y12"/>
    </sheetView>
  </sheetViews>
  <sheetFormatPr defaultRowHeight="15" x14ac:dyDescent="0.25"/>
  <cols>
    <col min="23" max="23" width="4.140625" customWidth="1"/>
    <col min="24" max="24" width="10.140625" customWidth="1"/>
    <col min="27" max="27" width="0" hidden="1" customWidth="1"/>
  </cols>
  <sheetData>
    <row r="1" spans="1:26" ht="15" customHeight="1" x14ac:dyDescent="0.25">
      <c r="A1" s="47" t="s">
        <v>85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3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50" t="s">
        <v>2</v>
      </c>
      <c r="B5" s="51"/>
      <c r="C5" s="52"/>
      <c r="D5" s="50" t="s">
        <v>1</v>
      </c>
      <c r="E5" s="52"/>
      <c r="F5" s="42" t="s">
        <v>62</v>
      </c>
      <c r="G5" s="42"/>
      <c r="H5" s="48" t="s">
        <v>56</v>
      </c>
      <c r="I5" s="48"/>
      <c r="J5" s="48"/>
      <c r="K5" s="48" t="s">
        <v>66</v>
      </c>
      <c r="L5" s="48"/>
      <c r="M5" s="48"/>
      <c r="N5" s="48"/>
      <c r="O5" s="48" t="s">
        <v>67</v>
      </c>
      <c r="P5" s="48"/>
      <c r="Q5" s="48"/>
      <c r="R5" s="48"/>
      <c r="S5" s="48" t="s">
        <v>73</v>
      </c>
      <c r="T5" s="48"/>
      <c r="U5" s="48"/>
      <c r="V5" s="48"/>
      <c r="W5" s="7"/>
      <c r="X5" s="46" t="s">
        <v>72</v>
      </c>
      <c r="Y5" s="46"/>
      <c r="Z5" s="46"/>
    </row>
    <row r="6" spans="1:26" ht="94.5" customHeight="1" x14ac:dyDescent="0.25">
      <c r="A6" s="53"/>
      <c r="B6" s="54"/>
      <c r="C6" s="55"/>
      <c r="D6" s="53"/>
      <c r="E6" s="55"/>
      <c r="F6" s="42"/>
      <c r="G6" s="42"/>
      <c r="H6" s="2" t="s">
        <v>59</v>
      </c>
      <c r="I6" s="2" t="s">
        <v>60</v>
      </c>
      <c r="J6" s="3" t="s">
        <v>61</v>
      </c>
      <c r="K6" s="43" t="s">
        <v>54</v>
      </c>
      <c r="L6" s="43"/>
      <c r="M6" s="43" t="s">
        <v>55</v>
      </c>
      <c r="N6" s="43"/>
      <c r="O6" s="43" t="s">
        <v>54</v>
      </c>
      <c r="P6" s="43"/>
      <c r="Q6" s="43" t="s">
        <v>55</v>
      </c>
      <c r="R6" s="43"/>
      <c r="S6" s="43" t="s">
        <v>54</v>
      </c>
      <c r="T6" s="43"/>
      <c r="U6" s="43" t="s">
        <v>55</v>
      </c>
      <c r="V6" s="49"/>
      <c r="W6" s="14"/>
      <c r="X6" s="46"/>
      <c r="Y6" s="46"/>
      <c r="Z6" s="46"/>
    </row>
    <row r="7" spans="1:26" x14ac:dyDescent="0.25">
      <c r="A7" s="33" t="s">
        <v>53</v>
      </c>
      <c r="B7" s="33"/>
      <c r="C7" s="33"/>
      <c r="D7" s="21">
        <v>3</v>
      </c>
      <c r="E7" s="21"/>
      <c r="F7" s="21">
        <v>0.9</v>
      </c>
      <c r="G7" s="21"/>
      <c r="H7" s="6">
        <f>0.1+(0.9/(D7*2))</f>
        <v>0.25</v>
      </c>
      <c r="I7" s="22">
        <v>1</v>
      </c>
      <c r="J7" s="6">
        <v>1</v>
      </c>
      <c r="K7" s="11">
        <f>((230*16)/1000)+(((230*SQRT(3))*32*SQRT(3))/1000)</f>
        <v>25.759999999999998</v>
      </c>
      <c r="L7" s="10" t="s">
        <v>63</v>
      </c>
      <c r="M7" s="11">
        <f>K7*D7*H7*I7*J7</f>
        <v>19.32</v>
      </c>
      <c r="N7" s="10" t="s">
        <v>63</v>
      </c>
      <c r="O7" s="8">
        <f>K7*TAN(ACOS(F7))</f>
        <v>12.476137420623081</v>
      </c>
      <c r="P7" s="9" t="s">
        <v>64</v>
      </c>
      <c r="Q7" s="8">
        <f>(K7*TAN(ACOS(F7)))*D7*H7*I7*J7</f>
        <v>9.3571030654673102</v>
      </c>
      <c r="R7" s="9" t="s">
        <v>64</v>
      </c>
      <c r="S7" s="8">
        <f>K7/F7</f>
        <v>28.62222222222222</v>
      </c>
      <c r="T7" s="9" t="s">
        <v>65</v>
      </c>
      <c r="U7" s="8">
        <f>S7*D7*H7*I7*J7</f>
        <v>21.466666666666665</v>
      </c>
      <c r="V7" s="9" t="s">
        <v>65</v>
      </c>
      <c r="W7" s="15"/>
      <c r="X7" s="32" t="s">
        <v>66</v>
      </c>
      <c r="Y7" s="36">
        <f>SUM(M7:M16)</f>
        <v>112.78880000000001</v>
      </c>
      <c r="Z7" s="34" t="s">
        <v>63</v>
      </c>
    </row>
    <row r="8" spans="1:26" x14ac:dyDescent="0.25">
      <c r="A8" s="33" t="s">
        <v>27</v>
      </c>
      <c r="B8" s="33"/>
      <c r="C8" s="33"/>
      <c r="D8" s="21">
        <v>1</v>
      </c>
      <c r="E8" s="21"/>
      <c r="F8" s="21">
        <v>0.85</v>
      </c>
      <c r="G8" s="21"/>
      <c r="H8" s="6">
        <v>1</v>
      </c>
      <c r="I8" s="22"/>
      <c r="J8" s="6">
        <v>0.8</v>
      </c>
      <c r="K8" s="11">
        <v>1.863</v>
      </c>
      <c r="L8" s="10" t="s">
        <v>63</v>
      </c>
      <c r="M8" s="11">
        <f>K8*D8*H8*I7*J8</f>
        <v>1.4904000000000002</v>
      </c>
      <c r="N8" s="10" t="s">
        <v>63</v>
      </c>
      <c r="O8" s="8">
        <f>K8*TAN(ACOS(F8))</f>
        <v>1.1545837024449794</v>
      </c>
      <c r="P8" s="9" t="s">
        <v>64</v>
      </c>
      <c r="Q8" s="8">
        <f>(K8*TAN(ACOS(F8)))*D8*H8*I7*J8</f>
        <v>0.92366696195598363</v>
      </c>
      <c r="R8" s="9" t="s">
        <v>64</v>
      </c>
      <c r="S8" s="8">
        <f>K8/F8</f>
        <v>2.1917647058823531</v>
      </c>
      <c r="T8" s="9" t="s">
        <v>65</v>
      </c>
      <c r="U8" s="8">
        <f>S8*D8*H8*I7*J8</f>
        <v>1.7534117647058824</v>
      </c>
      <c r="V8" s="9" t="s">
        <v>65</v>
      </c>
      <c r="W8" s="15"/>
      <c r="X8" s="32"/>
      <c r="Y8" s="37"/>
      <c r="Z8" s="35"/>
    </row>
    <row r="9" spans="1:26" x14ac:dyDescent="0.25">
      <c r="A9" s="33" t="s">
        <v>28</v>
      </c>
      <c r="B9" s="33"/>
      <c r="C9" s="33"/>
      <c r="D9" s="21">
        <v>1</v>
      </c>
      <c r="E9" s="21"/>
      <c r="F9" s="21">
        <v>0.85</v>
      </c>
      <c r="G9" s="21"/>
      <c r="H9" s="6">
        <v>1</v>
      </c>
      <c r="I9" s="22"/>
      <c r="J9" s="6">
        <v>0.8</v>
      </c>
      <c r="K9" s="11">
        <v>1.4910000000000001</v>
      </c>
      <c r="L9" s="10" t="s">
        <v>63</v>
      </c>
      <c r="M9" s="11">
        <f>K9*D9*H9*I7*J9</f>
        <v>1.1928000000000001</v>
      </c>
      <c r="N9" s="10" t="s">
        <v>63</v>
      </c>
      <c r="O9" s="8">
        <f t="shared" ref="O9:O11" si="0">K9*TAN(ACOS(F9))</f>
        <v>0.92403880855902554</v>
      </c>
      <c r="P9" s="9" t="s">
        <v>64</v>
      </c>
      <c r="Q9" s="8">
        <f>(K9*TAN(ACOS(F9)))*D9*H9*I7*J9</f>
        <v>0.73923104684722052</v>
      </c>
      <c r="R9" s="9" t="s">
        <v>64</v>
      </c>
      <c r="S9" s="8">
        <f t="shared" ref="S9:S11" si="1">K9/F9</f>
        <v>1.7541176470588238</v>
      </c>
      <c r="T9" s="9" t="s">
        <v>65</v>
      </c>
      <c r="U9" s="8">
        <f>S9*D9*H9*I7*J9</f>
        <v>1.403294117647059</v>
      </c>
      <c r="V9" s="9" t="s">
        <v>65</v>
      </c>
      <c r="W9" s="15"/>
      <c r="X9" s="32" t="s">
        <v>67</v>
      </c>
      <c r="Y9" s="36">
        <f>SUM(Q7:Q16)</f>
        <v>67.283862682799196</v>
      </c>
      <c r="Z9" s="34" t="s">
        <v>64</v>
      </c>
    </row>
    <row r="10" spans="1:26" x14ac:dyDescent="0.25">
      <c r="A10" s="33" t="s">
        <v>29</v>
      </c>
      <c r="B10" s="33"/>
      <c r="C10" s="33"/>
      <c r="D10" s="21">
        <v>1</v>
      </c>
      <c r="E10" s="21"/>
      <c r="F10" s="21">
        <v>0.85</v>
      </c>
      <c r="G10" s="21"/>
      <c r="H10" s="6">
        <v>1</v>
      </c>
      <c r="I10" s="22"/>
      <c r="J10" s="6">
        <v>0.8</v>
      </c>
      <c r="K10" s="11">
        <v>1.4910000000000001</v>
      </c>
      <c r="L10" s="10" t="s">
        <v>63</v>
      </c>
      <c r="M10" s="11">
        <f>K10*D10*H10*I7*J10</f>
        <v>1.1928000000000001</v>
      </c>
      <c r="N10" s="10" t="s">
        <v>63</v>
      </c>
      <c r="O10" s="8">
        <f t="shared" si="0"/>
        <v>0.92403880855902554</v>
      </c>
      <c r="P10" s="9" t="s">
        <v>64</v>
      </c>
      <c r="Q10" s="8">
        <f>(K10*TAN(ACOS(F10)))*D10*H10*I7*J10</f>
        <v>0.73923104684722052</v>
      </c>
      <c r="R10" s="9" t="s">
        <v>64</v>
      </c>
      <c r="S10" s="8">
        <f t="shared" si="1"/>
        <v>1.7541176470588238</v>
      </c>
      <c r="T10" s="9" t="s">
        <v>65</v>
      </c>
      <c r="U10" s="8">
        <f>S10*D10*H10*I7*J10</f>
        <v>1.403294117647059</v>
      </c>
      <c r="V10" s="9" t="s">
        <v>65</v>
      </c>
      <c r="W10" s="15"/>
      <c r="X10" s="32"/>
      <c r="Y10" s="38"/>
      <c r="Z10" s="35"/>
    </row>
    <row r="11" spans="1:26" x14ac:dyDescent="0.25">
      <c r="A11" s="33" t="s">
        <v>30</v>
      </c>
      <c r="B11" s="33"/>
      <c r="C11" s="33"/>
      <c r="D11" s="21">
        <v>1</v>
      </c>
      <c r="E11" s="21"/>
      <c r="F11" s="21">
        <v>0.85</v>
      </c>
      <c r="G11" s="21"/>
      <c r="H11" s="6">
        <v>1</v>
      </c>
      <c r="I11" s="22"/>
      <c r="J11" s="6">
        <v>0.8</v>
      </c>
      <c r="K11" s="11">
        <v>1.4910000000000001</v>
      </c>
      <c r="L11" s="10" t="s">
        <v>63</v>
      </c>
      <c r="M11" s="11">
        <f>K11*D11*H11*I7*J11</f>
        <v>1.1928000000000001</v>
      </c>
      <c r="N11" s="10" t="s">
        <v>63</v>
      </c>
      <c r="O11" s="8">
        <f t="shared" si="0"/>
        <v>0.92403880855902554</v>
      </c>
      <c r="P11" s="9" t="s">
        <v>64</v>
      </c>
      <c r="Q11" s="8">
        <f>(K11*TAN(ACOS(F11)))*D11*H11*I7*J11</f>
        <v>0.73923104684722052</v>
      </c>
      <c r="R11" s="9" t="s">
        <v>64</v>
      </c>
      <c r="S11" s="8">
        <f t="shared" si="1"/>
        <v>1.7541176470588238</v>
      </c>
      <c r="T11" s="9" t="s">
        <v>65</v>
      </c>
      <c r="U11" s="8">
        <f>S11*D11*H11*I7*J11</f>
        <v>1.403294117647059</v>
      </c>
      <c r="V11" s="9" t="s">
        <v>65</v>
      </c>
      <c r="W11" s="15"/>
      <c r="X11" s="32" t="s">
        <v>73</v>
      </c>
      <c r="Y11" s="36">
        <f>SUM(U7:U16)</f>
        <v>131.42996078431372</v>
      </c>
      <c r="Z11" s="34" t="s">
        <v>65</v>
      </c>
    </row>
    <row r="12" spans="1:26" x14ac:dyDescent="0.25">
      <c r="A12" s="33" t="s">
        <v>31</v>
      </c>
      <c r="B12" s="33"/>
      <c r="C12" s="33"/>
      <c r="D12" s="21">
        <v>1</v>
      </c>
      <c r="E12" s="21"/>
      <c r="F12" s="21">
        <v>0.85</v>
      </c>
      <c r="G12" s="21"/>
      <c r="H12" s="6">
        <v>1</v>
      </c>
      <c r="I12" s="22"/>
      <c r="J12" s="6">
        <v>0.8</v>
      </c>
      <c r="K12" s="11">
        <f>S12*F12</f>
        <v>12.75</v>
      </c>
      <c r="L12" s="10" t="s">
        <v>63</v>
      </c>
      <c r="M12" s="11">
        <f>K12*D12*H12*I7*J12</f>
        <v>10.200000000000001</v>
      </c>
      <c r="N12" s="10" t="s">
        <v>63</v>
      </c>
      <c r="O12" s="8">
        <f t="shared" ref="O12:O16" si="2">K12*TAN(ACOS(F12))</f>
        <v>7.9017403146395537</v>
      </c>
      <c r="P12" s="9" t="s">
        <v>64</v>
      </c>
      <c r="Q12" s="8">
        <f>(K12*TAN(ACOS(F12)))*D12*H12*I7*J12</f>
        <v>6.321392251711643</v>
      </c>
      <c r="R12" s="9" t="s">
        <v>64</v>
      </c>
      <c r="S12" s="8">
        <v>15</v>
      </c>
      <c r="T12" s="9" t="s">
        <v>65</v>
      </c>
      <c r="U12" s="8">
        <f>S12*D12*H12*I7*J12</f>
        <v>12</v>
      </c>
      <c r="V12" s="9" t="s">
        <v>65</v>
      </c>
      <c r="W12" s="15"/>
      <c r="X12" s="32"/>
      <c r="Y12" s="39"/>
      <c r="Z12" s="40"/>
    </row>
    <row r="13" spans="1:26" x14ac:dyDescent="0.25">
      <c r="A13" s="33" t="s">
        <v>32</v>
      </c>
      <c r="B13" s="33"/>
      <c r="C13" s="33"/>
      <c r="D13" s="21">
        <v>1</v>
      </c>
      <c r="E13" s="21"/>
      <c r="F13" s="21">
        <v>0.85</v>
      </c>
      <c r="G13" s="21"/>
      <c r="H13" s="6">
        <v>1</v>
      </c>
      <c r="I13" s="22"/>
      <c r="J13" s="6">
        <v>0.8</v>
      </c>
      <c r="K13" s="11">
        <f t="shared" ref="K13:K16" si="3">S13*F13</f>
        <v>12.75</v>
      </c>
      <c r="L13" s="10" t="s">
        <v>63</v>
      </c>
      <c r="M13" s="11">
        <f>K13*D13*H13*I7*J13</f>
        <v>10.200000000000001</v>
      </c>
      <c r="N13" s="10" t="s">
        <v>63</v>
      </c>
      <c r="O13" s="8">
        <f t="shared" si="2"/>
        <v>7.9017403146395537</v>
      </c>
      <c r="P13" s="9" t="s">
        <v>64</v>
      </c>
      <c r="Q13" s="8">
        <f>(K13*TAN(ACOS(F13)))*D13*H13*I7*J13</f>
        <v>6.321392251711643</v>
      </c>
      <c r="R13" s="9" t="s">
        <v>64</v>
      </c>
      <c r="S13" s="8">
        <v>15</v>
      </c>
      <c r="T13" s="9" t="s">
        <v>65</v>
      </c>
      <c r="U13" s="8">
        <f>S13*D13*H13*I7*J13</f>
        <v>12</v>
      </c>
      <c r="V13" s="9" t="s">
        <v>65</v>
      </c>
      <c r="W13" s="15"/>
      <c r="X13" s="1"/>
      <c r="Y13" s="1"/>
      <c r="Z13" s="17"/>
    </row>
    <row r="14" spans="1:26" x14ac:dyDescent="0.25">
      <c r="A14" s="33" t="s">
        <v>33</v>
      </c>
      <c r="B14" s="33"/>
      <c r="C14" s="33"/>
      <c r="D14" s="21">
        <v>1</v>
      </c>
      <c r="E14" s="21"/>
      <c r="F14" s="21">
        <v>0.85</v>
      </c>
      <c r="G14" s="21"/>
      <c r="H14" s="6">
        <v>1</v>
      </c>
      <c r="I14" s="22"/>
      <c r="J14" s="6">
        <v>0.8</v>
      </c>
      <c r="K14" s="11">
        <f t="shared" si="3"/>
        <v>12.75</v>
      </c>
      <c r="L14" s="10" t="s">
        <v>63</v>
      </c>
      <c r="M14" s="11">
        <f>K14*D14*H14*I7*J14</f>
        <v>10.200000000000001</v>
      </c>
      <c r="N14" s="10" t="s">
        <v>63</v>
      </c>
      <c r="O14" s="8">
        <f t="shared" si="2"/>
        <v>7.9017403146395537</v>
      </c>
      <c r="P14" s="9" t="s">
        <v>64</v>
      </c>
      <c r="Q14" s="8">
        <f>(K14*TAN(ACOS(F14)))*D14*H14*I7*J14</f>
        <v>6.321392251711643</v>
      </c>
      <c r="R14" s="9" t="s">
        <v>64</v>
      </c>
      <c r="S14" s="8">
        <v>15</v>
      </c>
      <c r="T14" s="9" t="s">
        <v>65</v>
      </c>
      <c r="U14" s="8">
        <f>S14*D14*H14*I7*J14</f>
        <v>12</v>
      </c>
      <c r="V14" s="9" t="s">
        <v>65</v>
      </c>
      <c r="W14" s="15"/>
      <c r="X14" s="44" t="s">
        <v>76</v>
      </c>
      <c r="Y14" s="44"/>
      <c r="Z14" s="44"/>
    </row>
    <row r="15" spans="1:26" x14ac:dyDescent="0.25">
      <c r="A15" s="33" t="s">
        <v>34</v>
      </c>
      <c r="B15" s="33"/>
      <c r="C15" s="33"/>
      <c r="D15" s="21">
        <v>1</v>
      </c>
      <c r="E15" s="21"/>
      <c r="F15" s="21">
        <v>0.85</v>
      </c>
      <c r="G15" s="21"/>
      <c r="H15" s="6">
        <v>1</v>
      </c>
      <c r="I15" s="22"/>
      <c r="J15" s="6">
        <v>0.8</v>
      </c>
      <c r="K15" s="11">
        <f t="shared" si="3"/>
        <v>12.75</v>
      </c>
      <c r="L15" s="10" t="s">
        <v>63</v>
      </c>
      <c r="M15" s="11">
        <f>K15*D15*H15*I7*J15</f>
        <v>10.200000000000001</v>
      </c>
      <c r="N15" s="10" t="s">
        <v>63</v>
      </c>
      <c r="O15" s="8">
        <f t="shared" si="2"/>
        <v>7.9017403146395537</v>
      </c>
      <c r="P15" s="9" t="s">
        <v>64</v>
      </c>
      <c r="Q15" s="8">
        <f>(K15*TAN(ACOS(F15)))*D15*H15*I7*J15</f>
        <v>6.321392251711643</v>
      </c>
      <c r="R15" s="9" t="s">
        <v>64</v>
      </c>
      <c r="S15" s="8">
        <v>15</v>
      </c>
      <c r="T15" s="9" t="s">
        <v>65</v>
      </c>
      <c r="U15" s="8">
        <f>S15*D15*H15*I7*J15</f>
        <v>12</v>
      </c>
      <c r="V15" s="9" t="s">
        <v>65</v>
      </c>
      <c r="W15" s="15"/>
      <c r="X15" s="42" t="s">
        <v>57</v>
      </c>
      <c r="Y15" s="42"/>
      <c r="Z15" s="43">
        <v>13</v>
      </c>
    </row>
    <row r="16" spans="1:26" x14ac:dyDescent="0.25">
      <c r="A16" s="33" t="s">
        <v>35</v>
      </c>
      <c r="B16" s="33"/>
      <c r="C16" s="33"/>
      <c r="D16" s="21">
        <v>1</v>
      </c>
      <c r="E16" s="21"/>
      <c r="F16" s="21">
        <v>0.85</v>
      </c>
      <c r="G16" s="21"/>
      <c r="H16" s="6">
        <v>1</v>
      </c>
      <c r="I16" s="22"/>
      <c r="J16" s="6">
        <v>0.8</v>
      </c>
      <c r="K16" s="11">
        <f t="shared" si="3"/>
        <v>59.5</v>
      </c>
      <c r="L16" s="10" t="s">
        <v>63</v>
      </c>
      <c r="M16" s="11">
        <f>K16*D16*H16*I7*J16</f>
        <v>47.6</v>
      </c>
      <c r="N16" s="10" t="s">
        <v>63</v>
      </c>
      <c r="O16" s="8">
        <f t="shared" si="2"/>
        <v>36.874788134984584</v>
      </c>
      <c r="P16" s="9" t="s">
        <v>64</v>
      </c>
      <c r="Q16" s="8">
        <f>(K16*TAN(ACOS(F16)))*D16*H16*I7*J16</f>
        <v>29.499830507987667</v>
      </c>
      <c r="R16" s="9" t="s">
        <v>64</v>
      </c>
      <c r="S16" s="8">
        <v>70</v>
      </c>
      <c r="T16" s="9" t="s">
        <v>65</v>
      </c>
      <c r="U16" s="8">
        <f>S16*D16*H16*I7*J16</f>
        <v>56</v>
      </c>
      <c r="V16" s="9" t="s">
        <v>65</v>
      </c>
      <c r="W16" s="15"/>
      <c r="X16" s="42"/>
      <c r="Y16" s="42"/>
      <c r="Z16" s="43"/>
    </row>
    <row r="17" spans="19:27" ht="15" customHeight="1" x14ac:dyDescent="0.25">
      <c r="S17" s="12"/>
      <c r="T17" s="13"/>
      <c r="W17" s="15"/>
      <c r="X17" s="26" t="s">
        <v>71</v>
      </c>
      <c r="Y17" s="27"/>
      <c r="Z17" s="23">
        <f>IF(Z15&gt;=10,0.6,IF(Z15&gt;=6,0.7,IF(Z15&lt;6,0.8)))</f>
        <v>0.6</v>
      </c>
    </row>
    <row r="18" spans="19:27" x14ac:dyDescent="0.25">
      <c r="S18" s="12"/>
      <c r="T18" s="13"/>
      <c r="W18" s="15"/>
      <c r="X18" s="28"/>
      <c r="Y18" s="29"/>
      <c r="Z18" s="24"/>
    </row>
    <row r="19" spans="19:27" ht="15" customHeight="1" x14ac:dyDescent="0.25">
      <c r="S19" s="12"/>
      <c r="T19" s="13"/>
      <c r="W19" s="15"/>
      <c r="X19" s="30"/>
      <c r="Y19" s="31"/>
      <c r="Z19" s="25"/>
    </row>
    <row r="20" spans="19:27" x14ac:dyDescent="0.25">
      <c r="S20" s="12"/>
      <c r="T20" s="13"/>
      <c r="W20" s="15"/>
      <c r="X20" s="41" t="s">
        <v>68</v>
      </c>
      <c r="Y20" s="36">
        <f>Y7*Z17</f>
        <v>67.673280000000005</v>
      </c>
      <c r="Z20" s="34" t="s">
        <v>63</v>
      </c>
      <c r="AA20" s="20">
        <f>Y20</f>
        <v>67.673280000000005</v>
      </c>
    </row>
    <row r="21" spans="19:27" ht="15" customHeight="1" x14ac:dyDescent="0.25">
      <c r="S21" s="12"/>
      <c r="T21" s="13"/>
      <c r="W21" s="15"/>
      <c r="X21" s="41"/>
      <c r="Y21" s="45"/>
      <c r="Z21" s="40"/>
    </row>
    <row r="22" spans="19:27" x14ac:dyDescent="0.25">
      <c r="S22" s="12"/>
      <c r="T22" s="13"/>
      <c r="W22" s="15"/>
      <c r="X22" s="41" t="s">
        <v>69</v>
      </c>
      <c r="Y22" s="36">
        <f>Y9*Z17</f>
        <v>40.370317609679518</v>
      </c>
      <c r="Z22" s="34" t="s">
        <v>64</v>
      </c>
      <c r="AA22" s="20">
        <f>Y22</f>
        <v>40.370317609679518</v>
      </c>
    </row>
    <row r="23" spans="19:27" ht="15" customHeight="1" x14ac:dyDescent="0.25">
      <c r="W23" s="15"/>
      <c r="X23" s="41"/>
      <c r="Y23" s="45"/>
      <c r="Z23" s="40"/>
    </row>
    <row r="24" spans="19:27" x14ac:dyDescent="0.25">
      <c r="W24" s="15"/>
      <c r="X24" s="41" t="s">
        <v>70</v>
      </c>
      <c r="Y24" s="36">
        <f>Y11*Z17</f>
        <v>78.857976470588227</v>
      </c>
      <c r="Z24" s="34" t="s">
        <v>65</v>
      </c>
      <c r="AA24" s="20">
        <f>Y24</f>
        <v>78.857976470588227</v>
      </c>
    </row>
    <row r="25" spans="19:27" ht="15" customHeight="1" x14ac:dyDescent="0.25">
      <c r="W25" s="16"/>
      <c r="X25" s="41"/>
      <c r="Y25" s="45"/>
      <c r="Z25" s="40"/>
    </row>
  </sheetData>
  <mergeCells count="69">
    <mergeCell ref="A12:C12"/>
    <mergeCell ref="D12:E12"/>
    <mergeCell ref="F12:G12"/>
    <mergeCell ref="A13:C13"/>
    <mergeCell ref="D13:E13"/>
    <mergeCell ref="F13:G13"/>
    <mergeCell ref="A16:C16"/>
    <mergeCell ref="D16:E16"/>
    <mergeCell ref="F16:G16"/>
    <mergeCell ref="A14:C14"/>
    <mergeCell ref="D14:E14"/>
    <mergeCell ref="F14:G14"/>
    <mergeCell ref="A15:C15"/>
    <mergeCell ref="D15:E15"/>
    <mergeCell ref="F15:G15"/>
    <mergeCell ref="Z17:Z19"/>
    <mergeCell ref="X22:X23"/>
    <mergeCell ref="Y22:Y23"/>
    <mergeCell ref="Z22:Z23"/>
    <mergeCell ref="X24:X25"/>
    <mergeCell ref="Y24:Y25"/>
    <mergeCell ref="Z24:Z25"/>
    <mergeCell ref="X20:X21"/>
    <mergeCell ref="Y20:Y21"/>
    <mergeCell ref="Z20:Z21"/>
    <mergeCell ref="A10:C10"/>
    <mergeCell ref="D10:E10"/>
    <mergeCell ref="F10:G10"/>
    <mergeCell ref="X11:X12"/>
    <mergeCell ref="Y11:Y12"/>
    <mergeCell ref="Z11:Z12"/>
    <mergeCell ref="A11:C11"/>
    <mergeCell ref="D11:E11"/>
    <mergeCell ref="F11:G11"/>
    <mergeCell ref="X14:Z14"/>
    <mergeCell ref="X15:Y16"/>
    <mergeCell ref="Z15:Z16"/>
    <mergeCell ref="X17:Y19"/>
    <mergeCell ref="D8:E8"/>
    <mergeCell ref="F8:G8"/>
    <mergeCell ref="X9:X10"/>
    <mergeCell ref="Y9:Y10"/>
    <mergeCell ref="Z9:Z10"/>
    <mergeCell ref="Z7:Z8"/>
    <mergeCell ref="A7:C7"/>
    <mergeCell ref="D7:E7"/>
    <mergeCell ref="F7:G7"/>
    <mergeCell ref="M6:N6"/>
    <mergeCell ref="O6:P6"/>
    <mergeCell ref="Q6:R6"/>
    <mergeCell ref="S6:T6"/>
    <mergeCell ref="U6:V6"/>
    <mergeCell ref="I7:I16"/>
    <mergeCell ref="A9:C9"/>
    <mergeCell ref="D9:E9"/>
    <mergeCell ref="F9:G9"/>
    <mergeCell ref="X7:X8"/>
    <mergeCell ref="Y7:Y8"/>
    <mergeCell ref="A8:C8"/>
    <mergeCell ref="A1:Z4"/>
    <mergeCell ref="A5:C6"/>
    <mergeCell ref="D5:E6"/>
    <mergeCell ref="F5:G6"/>
    <mergeCell ref="H5:J5"/>
    <mergeCell ref="K5:N5"/>
    <mergeCell ref="O5:R5"/>
    <mergeCell ref="S5:V5"/>
    <mergeCell ref="X5:Z6"/>
    <mergeCell ref="K6:L6"/>
  </mergeCells>
  <pageMargins left="0.7" right="0.7" top="0.75" bottom="0.75" header="0.3" footer="0.3"/>
  <pageSetup paperSize="9"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EA7C-4D5B-4196-9959-1DDA8B13DB5F}">
  <sheetPr>
    <tabColor theme="2" tint="-0.499984740745262"/>
    <pageSetUpPr fitToPage="1"/>
  </sheetPr>
  <dimension ref="A1:AA25"/>
  <sheetViews>
    <sheetView topLeftCell="A4" zoomScale="70" zoomScaleNormal="70" workbookViewId="0">
      <selection activeCell="G26" sqref="G26"/>
    </sheetView>
  </sheetViews>
  <sheetFormatPr defaultRowHeight="15" x14ac:dyDescent="0.25"/>
  <cols>
    <col min="23" max="23" width="4.140625" customWidth="1"/>
    <col min="24" max="24" width="10.140625" customWidth="1"/>
    <col min="27" max="27" width="0" hidden="1" customWidth="1"/>
  </cols>
  <sheetData>
    <row r="1" spans="1:26" ht="15" customHeight="1" x14ac:dyDescent="0.25">
      <c r="A1" s="47" t="s">
        <v>84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3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50" t="s">
        <v>2</v>
      </c>
      <c r="B5" s="51"/>
      <c r="C5" s="52"/>
      <c r="D5" s="50" t="s">
        <v>1</v>
      </c>
      <c r="E5" s="52"/>
      <c r="F5" s="42" t="s">
        <v>62</v>
      </c>
      <c r="G5" s="42"/>
      <c r="H5" s="48" t="s">
        <v>56</v>
      </c>
      <c r="I5" s="48"/>
      <c r="J5" s="48"/>
      <c r="K5" s="48" t="s">
        <v>66</v>
      </c>
      <c r="L5" s="48"/>
      <c r="M5" s="48"/>
      <c r="N5" s="48"/>
      <c r="O5" s="48" t="s">
        <v>67</v>
      </c>
      <c r="P5" s="48"/>
      <c r="Q5" s="48"/>
      <c r="R5" s="48"/>
      <c r="S5" s="48" t="s">
        <v>73</v>
      </c>
      <c r="T5" s="48"/>
      <c r="U5" s="48"/>
      <c r="V5" s="48"/>
      <c r="W5" s="7"/>
      <c r="X5" s="46" t="s">
        <v>72</v>
      </c>
      <c r="Y5" s="46"/>
      <c r="Z5" s="46"/>
    </row>
    <row r="6" spans="1:26" ht="94.5" customHeight="1" x14ac:dyDescent="0.25">
      <c r="A6" s="53"/>
      <c r="B6" s="54"/>
      <c r="C6" s="55"/>
      <c r="D6" s="53"/>
      <c r="E6" s="55"/>
      <c r="F6" s="42"/>
      <c r="G6" s="42"/>
      <c r="H6" s="2" t="s">
        <v>59</v>
      </c>
      <c r="I6" s="2" t="s">
        <v>60</v>
      </c>
      <c r="J6" s="3" t="s">
        <v>61</v>
      </c>
      <c r="K6" s="43" t="s">
        <v>54</v>
      </c>
      <c r="L6" s="43"/>
      <c r="M6" s="43" t="s">
        <v>55</v>
      </c>
      <c r="N6" s="43"/>
      <c r="O6" s="43" t="s">
        <v>54</v>
      </c>
      <c r="P6" s="43"/>
      <c r="Q6" s="43" t="s">
        <v>55</v>
      </c>
      <c r="R6" s="43"/>
      <c r="S6" s="43" t="s">
        <v>54</v>
      </c>
      <c r="T6" s="43"/>
      <c r="U6" s="43" t="s">
        <v>55</v>
      </c>
      <c r="V6" s="49"/>
      <c r="W6" s="14"/>
      <c r="X6" s="46"/>
      <c r="Y6" s="46"/>
      <c r="Z6" s="46"/>
    </row>
    <row r="7" spans="1:26" x14ac:dyDescent="0.25">
      <c r="A7" s="33" t="s">
        <v>38</v>
      </c>
      <c r="B7" s="33"/>
      <c r="C7" s="33"/>
      <c r="D7" s="21">
        <v>2</v>
      </c>
      <c r="E7" s="21"/>
      <c r="F7" s="21">
        <v>0.95</v>
      </c>
      <c r="G7" s="21"/>
      <c r="H7" s="5">
        <v>1</v>
      </c>
      <c r="I7" s="56">
        <v>1</v>
      </c>
      <c r="J7" s="6">
        <v>1</v>
      </c>
      <c r="K7" s="11">
        <f>(40/0.9)/1000</f>
        <v>4.4444444444444446E-2</v>
      </c>
      <c r="L7" s="10" t="s">
        <v>63</v>
      </c>
      <c r="M7" s="11">
        <f>K7*D7*H7*I7*J7</f>
        <v>8.8888888888888892E-2</v>
      </c>
      <c r="N7" s="10" t="s">
        <v>63</v>
      </c>
      <c r="O7" s="8">
        <f>K7*TAN(ACOS(F7))</f>
        <v>1.460818245239392E-2</v>
      </c>
      <c r="P7" s="9" t="s">
        <v>64</v>
      </c>
      <c r="Q7" s="8">
        <f>(K7*TAN(ACOS(F7)))*D7*H7*I7*J7</f>
        <v>2.921636490478784E-2</v>
      </c>
      <c r="R7" s="9" t="s">
        <v>64</v>
      </c>
      <c r="S7" s="8">
        <f t="shared" ref="S7:S16" si="0">K7/F7</f>
        <v>4.6783625730994156E-2</v>
      </c>
      <c r="T7" s="9" t="s">
        <v>65</v>
      </c>
      <c r="U7" s="8">
        <f>S7*D7*H7*I7*J7</f>
        <v>9.3567251461988313E-2</v>
      </c>
      <c r="V7" s="9" t="s">
        <v>65</v>
      </c>
      <c r="W7" s="15"/>
      <c r="X7" s="32" t="s">
        <v>66</v>
      </c>
      <c r="Y7" s="36">
        <f>SUM(M7:M17)</f>
        <v>35.062444444444452</v>
      </c>
      <c r="Z7" s="34" t="s">
        <v>63</v>
      </c>
    </row>
    <row r="8" spans="1:26" x14ac:dyDescent="0.25">
      <c r="A8" s="33" t="s">
        <v>39</v>
      </c>
      <c r="B8" s="33"/>
      <c r="C8" s="33"/>
      <c r="D8" s="21">
        <v>1</v>
      </c>
      <c r="E8" s="21"/>
      <c r="F8" s="21">
        <v>0.95</v>
      </c>
      <c r="G8" s="21"/>
      <c r="H8" s="6">
        <v>1</v>
      </c>
      <c r="I8" s="57"/>
      <c r="J8" s="6">
        <v>1</v>
      </c>
      <c r="K8" s="11">
        <f>(26/0.9)/1000</f>
        <v>2.8888888888888888E-2</v>
      </c>
      <c r="L8" s="10" t="s">
        <v>63</v>
      </c>
      <c r="M8" s="11">
        <f>K8*D8*H8*I7*J8</f>
        <v>2.8888888888888888E-2</v>
      </c>
      <c r="N8" s="10" t="s">
        <v>63</v>
      </c>
      <c r="O8" s="8">
        <f>K8*TAN(ACOS(F8))</f>
        <v>9.4953185940560483E-3</v>
      </c>
      <c r="P8" s="9" t="s">
        <v>64</v>
      </c>
      <c r="Q8" s="8">
        <f>(K8*TAN(ACOS(F8)))*D8*H8*I7*J8</f>
        <v>9.4953185940560483E-3</v>
      </c>
      <c r="R8" s="9" t="s">
        <v>64</v>
      </c>
      <c r="S8" s="8">
        <f t="shared" si="0"/>
        <v>3.0409356725146199E-2</v>
      </c>
      <c r="T8" s="9" t="s">
        <v>65</v>
      </c>
      <c r="U8" s="8">
        <f>S8*D8*H8*I7*J8</f>
        <v>3.0409356725146199E-2</v>
      </c>
      <c r="V8" s="9" t="s">
        <v>65</v>
      </c>
      <c r="W8" s="15"/>
      <c r="X8" s="32"/>
      <c r="Y8" s="37"/>
      <c r="Z8" s="35"/>
    </row>
    <row r="9" spans="1:26" x14ac:dyDescent="0.25">
      <c r="A9" s="33" t="s">
        <v>40</v>
      </c>
      <c r="B9" s="33"/>
      <c r="C9" s="33"/>
      <c r="D9" s="21">
        <v>3</v>
      </c>
      <c r="E9" s="21"/>
      <c r="F9" s="21">
        <v>0.95</v>
      </c>
      <c r="G9" s="21"/>
      <c r="H9" s="6">
        <v>1</v>
      </c>
      <c r="I9" s="57"/>
      <c r="J9" s="6">
        <v>1</v>
      </c>
      <c r="K9" s="11">
        <f>(11/0.9)/1000</f>
        <v>1.2222222222222221E-2</v>
      </c>
      <c r="L9" s="10" t="s">
        <v>63</v>
      </c>
      <c r="M9" s="11">
        <f>K9*D9*H9*I7*J9</f>
        <v>3.6666666666666667E-2</v>
      </c>
      <c r="N9" s="10" t="s">
        <v>63</v>
      </c>
      <c r="O9" s="8">
        <f>K9*TAN(ACOS(F9))</f>
        <v>4.017250174408328E-3</v>
      </c>
      <c r="P9" s="9" t="s">
        <v>64</v>
      </c>
      <c r="Q9" s="8">
        <f>(K9*TAN(ACOS(F9)))*D9*H9*I7*J9</f>
        <v>1.2051750523224984E-2</v>
      </c>
      <c r="R9" s="9" t="s">
        <v>64</v>
      </c>
      <c r="S9" s="8">
        <f t="shared" si="0"/>
        <v>1.2865497076023391E-2</v>
      </c>
      <c r="T9" s="9" t="s">
        <v>65</v>
      </c>
      <c r="U9" s="8">
        <f>S9*D9*H9*I7*J9</f>
        <v>3.8596491228070171E-2</v>
      </c>
      <c r="V9" s="9" t="s">
        <v>65</v>
      </c>
      <c r="W9" s="15"/>
      <c r="X9" s="32" t="s">
        <v>67</v>
      </c>
      <c r="Y9" s="36">
        <f>SUM(Q7:Q17)</f>
        <v>11.310673287533241</v>
      </c>
      <c r="Z9" s="34" t="s">
        <v>64</v>
      </c>
    </row>
    <row r="10" spans="1:26" x14ac:dyDescent="0.25">
      <c r="A10" s="33" t="s">
        <v>41</v>
      </c>
      <c r="B10" s="33"/>
      <c r="C10" s="33"/>
      <c r="D10" s="21">
        <v>2</v>
      </c>
      <c r="E10" s="21"/>
      <c r="F10" s="21">
        <v>0.95</v>
      </c>
      <c r="G10" s="21"/>
      <c r="H10" s="6">
        <v>1</v>
      </c>
      <c r="I10" s="57"/>
      <c r="J10" s="6">
        <v>1</v>
      </c>
      <c r="K10" s="11">
        <f>(24/0.9)/1000</f>
        <v>2.6666666666666665E-2</v>
      </c>
      <c r="L10" s="10" t="s">
        <v>63</v>
      </c>
      <c r="M10" s="11">
        <f>K10*D10*H10*I7*J10</f>
        <v>5.333333333333333E-2</v>
      </c>
      <c r="N10" s="10" t="s">
        <v>63</v>
      </c>
      <c r="O10" s="8">
        <f t="shared" ref="O10:O17" si="1">K10*TAN(ACOS(F10))</f>
        <v>8.7649094714363513E-3</v>
      </c>
      <c r="P10" s="9" t="s">
        <v>64</v>
      </c>
      <c r="Q10" s="8">
        <f>(K10*TAN(ACOS(F10)))*D10*H10*I7*J10</f>
        <v>1.7529818942872703E-2</v>
      </c>
      <c r="R10" s="9" t="s">
        <v>64</v>
      </c>
      <c r="S10" s="8">
        <f t="shared" si="0"/>
        <v>2.8070175438596492E-2</v>
      </c>
      <c r="T10" s="9" t="s">
        <v>65</v>
      </c>
      <c r="U10" s="8">
        <f>S10*D10*H10*I7*J10</f>
        <v>5.6140350877192984E-2</v>
      </c>
      <c r="V10" s="9" t="s">
        <v>65</v>
      </c>
      <c r="W10" s="15"/>
      <c r="X10" s="32"/>
      <c r="Y10" s="38"/>
      <c r="Z10" s="35"/>
    </row>
    <row r="11" spans="1:26" x14ac:dyDescent="0.25">
      <c r="A11" s="33" t="s">
        <v>42</v>
      </c>
      <c r="B11" s="33"/>
      <c r="C11" s="33"/>
      <c r="D11" s="21">
        <v>36</v>
      </c>
      <c r="E11" s="21"/>
      <c r="F11" s="21">
        <v>0.95</v>
      </c>
      <c r="G11" s="21"/>
      <c r="H11" s="6">
        <v>1</v>
      </c>
      <c r="I11" s="57"/>
      <c r="J11" s="6">
        <v>1</v>
      </c>
      <c r="K11" s="11">
        <f>(22/0.9)/1000</f>
        <v>2.4444444444444442E-2</v>
      </c>
      <c r="L11" s="10" t="s">
        <v>63</v>
      </c>
      <c r="M11" s="11">
        <f>K11*D11*H11*I7*J11</f>
        <v>0.87999999999999989</v>
      </c>
      <c r="N11" s="10" t="s">
        <v>63</v>
      </c>
      <c r="O11" s="8">
        <f t="shared" si="1"/>
        <v>8.0345003488166561E-3</v>
      </c>
      <c r="P11" s="9" t="s">
        <v>64</v>
      </c>
      <c r="Q11" s="8">
        <f>(K11*TAN(ACOS(F11)))*D11*H11*I7*J11</f>
        <v>0.28924201255739962</v>
      </c>
      <c r="R11" s="9" t="s">
        <v>64</v>
      </c>
      <c r="S11" s="8">
        <f t="shared" si="0"/>
        <v>2.5730994152046782E-2</v>
      </c>
      <c r="T11" s="9" t="s">
        <v>65</v>
      </c>
      <c r="U11" s="8">
        <f>S11*D11*H11*I7*J11</f>
        <v>0.92631578947368409</v>
      </c>
      <c r="V11" s="9" t="s">
        <v>65</v>
      </c>
      <c r="W11" s="15"/>
      <c r="X11" s="32" t="s">
        <v>73</v>
      </c>
      <c r="Y11" s="36">
        <f>SUM(U7:U17)</f>
        <v>37.626900584795322</v>
      </c>
      <c r="Z11" s="34" t="s">
        <v>65</v>
      </c>
    </row>
    <row r="12" spans="1:26" x14ac:dyDescent="0.25">
      <c r="A12" s="33" t="s">
        <v>43</v>
      </c>
      <c r="B12" s="33"/>
      <c r="C12" s="33"/>
      <c r="D12" s="21">
        <v>10</v>
      </c>
      <c r="E12" s="21"/>
      <c r="F12" s="21">
        <v>0.95</v>
      </c>
      <c r="G12" s="21"/>
      <c r="H12" s="6">
        <v>1</v>
      </c>
      <c r="I12" s="57"/>
      <c r="J12" s="6">
        <v>1</v>
      </c>
      <c r="K12" s="11">
        <f>(12/0.9)/1000</f>
        <v>1.3333333333333332E-2</v>
      </c>
      <c r="L12" s="10" t="s">
        <v>63</v>
      </c>
      <c r="M12" s="11">
        <f>K12*D12*H12*I7*J12</f>
        <v>0.13333333333333333</v>
      </c>
      <c r="N12" s="10" t="s">
        <v>63</v>
      </c>
      <c r="O12" s="8">
        <f t="shared" si="1"/>
        <v>4.3824547357181757E-3</v>
      </c>
      <c r="P12" s="9" t="s">
        <v>64</v>
      </c>
      <c r="Q12" s="8">
        <f>(K12*TAN(ACOS(F12)))*D12*H12*I7*J12</f>
        <v>4.3824547357181755E-2</v>
      </c>
      <c r="R12" s="9" t="s">
        <v>64</v>
      </c>
      <c r="S12" s="8">
        <f t="shared" si="0"/>
        <v>1.4035087719298246E-2</v>
      </c>
      <c r="T12" s="9" t="s">
        <v>65</v>
      </c>
      <c r="U12" s="8">
        <f>S12*D12*H12*I7*J12</f>
        <v>0.14035087719298245</v>
      </c>
      <c r="V12" s="9" t="s">
        <v>65</v>
      </c>
      <c r="W12" s="15"/>
      <c r="X12" s="32"/>
      <c r="Y12" s="39"/>
      <c r="Z12" s="40"/>
    </row>
    <row r="13" spans="1:26" x14ac:dyDescent="0.25">
      <c r="A13" s="33" t="s">
        <v>44</v>
      </c>
      <c r="B13" s="33"/>
      <c r="C13" s="33"/>
      <c r="D13" s="21">
        <v>5</v>
      </c>
      <c r="E13" s="21"/>
      <c r="F13" s="21">
        <v>0.95</v>
      </c>
      <c r="G13" s="21"/>
      <c r="H13" s="6">
        <v>1</v>
      </c>
      <c r="I13" s="57"/>
      <c r="J13" s="6">
        <v>1</v>
      </c>
      <c r="K13" s="11">
        <f>(18/0.9)/1000</f>
        <v>0.02</v>
      </c>
      <c r="L13" s="10" t="s">
        <v>63</v>
      </c>
      <c r="M13" s="11">
        <f>K13*D13*H13*I7*J13</f>
        <v>0.1</v>
      </c>
      <c r="N13" s="10" t="s">
        <v>63</v>
      </c>
      <c r="O13" s="8">
        <f t="shared" si="1"/>
        <v>6.5736821035772639E-3</v>
      </c>
      <c r="P13" s="9" t="s">
        <v>64</v>
      </c>
      <c r="Q13" s="8">
        <f>(K13*TAN(ACOS(F13)))*D13*H13*I7*J13</f>
        <v>3.2868410517886318E-2</v>
      </c>
      <c r="R13" s="9" t="s">
        <v>64</v>
      </c>
      <c r="S13" s="8">
        <f t="shared" si="0"/>
        <v>2.1052631578947371E-2</v>
      </c>
      <c r="T13" s="9" t="s">
        <v>65</v>
      </c>
      <c r="U13" s="8">
        <f>S13*D13*H13*I7*J13</f>
        <v>0.10526315789473686</v>
      </c>
      <c r="V13" s="9" t="s">
        <v>65</v>
      </c>
      <c r="W13" s="15"/>
      <c r="X13" s="1"/>
      <c r="Y13" s="1"/>
      <c r="Z13" s="17"/>
    </row>
    <row r="14" spans="1:26" x14ac:dyDescent="0.25">
      <c r="A14" s="33" t="s">
        <v>45</v>
      </c>
      <c r="B14" s="33"/>
      <c r="C14" s="33"/>
      <c r="D14" s="21">
        <v>3</v>
      </c>
      <c r="E14" s="21"/>
      <c r="F14" s="21">
        <v>0.95</v>
      </c>
      <c r="G14" s="21"/>
      <c r="H14" s="6">
        <v>1</v>
      </c>
      <c r="I14" s="57"/>
      <c r="J14" s="6">
        <v>1</v>
      </c>
      <c r="K14" s="11">
        <f>(4/0.9)/1000</f>
        <v>4.4444444444444444E-3</v>
      </c>
      <c r="L14" s="10" t="s">
        <v>63</v>
      </c>
      <c r="M14" s="11">
        <f>K14*D14*H14*I7*J14</f>
        <v>1.3333333333333332E-2</v>
      </c>
      <c r="N14" s="10" t="s">
        <v>63</v>
      </c>
      <c r="O14" s="8">
        <f t="shared" si="1"/>
        <v>1.460818245239392E-3</v>
      </c>
      <c r="P14" s="9" t="s">
        <v>64</v>
      </c>
      <c r="Q14" s="8">
        <f>(K14*TAN(ACOS(F14)))*D14*H14*I7*J14</f>
        <v>4.3824547357181757E-3</v>
      </c>
      <c r="R14" s="9" t="s">
        <v>64</v>
      </c>
      <c r="S14" s="8">
        <f t="shared" si="0"/>
        <v>4.6783625730994153E-3</v>
      </c>
      <c r="T14" s="9" t="s">
        <v>65</v>
      </c>
      <c r="U14" s="8">
        <f>S14*D14*H14*I7*J14</f>
        <v>1.4035087719298246E-2</v>
      </c>
      <c r="V14" s="9" t="s">
        <v>65</v>
      </c>
      <c r="W14" s="15"/>
      <c r="X14" s="44" t="s">
        <v>78</v>
      </c>
      <c r="Y14" s="44"/>
      <c r="Z14" s="44"/>
    </row>
    <row r="15" spans="1:26" x14ac:dyDescent="0.25">
      <c r="A15" s="33" t="s">
        <v>77</v>
      </c>
      <c r="B15" s="33"/>
      <c r="C15" s="33"/>
      <c r="D15" s="21">
        <v>36</v>
      </c>
      <c r="E15" s="21"/>
      <c r="F15" s="21">
        <v>0.9</v>
      </c>
      <c r="G15" s="21"/>
      <c r="H15" s="18">
        <f>0.1+(0.9/D15)</f>
        <v>0.125</v>
      </c>
      <c r="I15" s="57"/>
      <c r="J15" s="6">
        <v>1</v>
      </c>
      <c r="K15" s="11">
        <v>3.68</v>
      </c>
      <c r="L15" s="10" t="s">
        <v>63</v>
      </c>
      <c r="M15" s="11">
        <f>K15*D15*H15*I7*J15</f>
        <v>16.560000000000002</v>
      </c>
      <c r="N15" s="10" t="s">
        <v>63</v>
      </c>
      <c r="O15" s="8">
        <f t="shared" si="1"/>
        <v>1.7823053458032974</v>
      </c>
      <c r="P15" s="9" t="s">
        <v>64</v>
      </c>
      <c r="Q15" s="8">
        <f>(K15*TAN(ACOS(F15)))*D15*H15*I7*J15</f>
        <v>8.0203740561148376</v>
      </c>
      <c r="R15" s="9" t="s">
        <v>64</v>
      </c>
      <c r="S15" s="8">
        <f t="shared" si="0"/>
        <v>4.0888888888888886</v>
      </c>
      <c r="T15" s="9" t="s">
        <v>65</v>
      </c>
      <c r="U15" s="8">
        <f>S15*D15*H15*I7*J15</f>
        <v>18.399999999999999</v>
      </c>
      <c r="V15" s="9" t="s">
        <v>65</v>
      </c>
      <c r="W15" s="15"/>
      <c r="X15" s="42" t="s">
        <v>57</v>
      </c>
      <c r="Y15" s="42"/>
      <c r="Z15" s="43">
        <v>14</v>
      </c>
    </row>
    <row r="16" spans="1:26" x14ac:dyDescent="0.25">
      <c r="A16" s="33" t="s">
        <v>46</v>
      </c>
      <c r="B16" s="33"/>
      <c r="C16" s="33"/>
      <c r="D16" s="21">
        <v>7</v>
      </c>
      <c r="E16" s="21"/>
      <c r="F16" s="21">
        <v>0.9</v>
      </c>
      <c r="G16" s="21"/>
      <c r="H16" s="18">
        <f>0.1+(0.9/D16)</f>
        <v>0.22857142857142859</v>
      </c>
      <c r="I16" s="57"/>
      <c r="J16" s="6">
        <v>1</v>
      </c>
      <c r="K16" s="11">
        <v>3.68</v>
      </c>
      <c r="L16" s="10" t="s">
        <v>63</v>
      </c>
      <c r="M16" s="11">
        <f>K16*D16*H16*I7*J16</f>
        <v>5.8880000000000008</v>
      </c>
      <c r="N16" s="10" t="s">
        <v>63</v>
      </c>
      <c r="O16" s="8">
        <f t="shared" si="1"/>
        <v>1.7823053458032974</v>
      </c>
      <c r="P16" s="9" t="s">
        <v>64</v>
      </c>
      <c r="Q16" s="8">
        <f>(K16*TAN(ACOS(F16)))*D16*H16*I7*J16</f>
        <v>2.851688553285276</v>
      </c>
      <c r="R16" s="9" t="s">
        <v>64</v>
      </c>
      <c r="S16" s="8">
        <f t="shared" si="0"/>
        <v>4.0888888888888886</v>
      </c>
      <c r="T16" s="9" t="s">
        <v>65</v>
      </c>
      <c r="U16" s="8">
        <f>S16*D16*H16*I7*J16</f>
        <v>6.5422222222222226</v>
      </c>
      <c r="V16" s="9" t="s">
        <v>65</v>
      </c>
      <c r="W16" s="15"/>
      <c r="X16" s="42"/>
      <c r="Y16" s="42"/>
      <c r="Z16" s="43"/>
    </row>
    <row r="17" spans="1:27" ht="15" customHeight="1" x14ac:dyDescent="0.25">
      <c r="A17" s="33" t="s">
        <v>36</v>
      </c>
      <c r="B17" s="33"/>
      <c r="C17" s="33"/>
      <c r="D17" s="21">
        <v>1</v>
      </c>
      <c r="E17" s="21"/>
      <c r="F17" s="21">
        <v>1</v>
      </c>
      <c r="G17" s="21"/>
      <c r="H17" s="6">
        <v>1</v>
      </c>
      <c r="I17" s="58"/>
      <c r="J17" s="6">
        <v>0.8</v>
      </c>
      <c r="K17" s="11">
        <v>14.1</v>
      </c>
      <c r="L17" s="10" t="s">
        <v>63</v>
      </c>
      <c r="M17" s="11">
        <f>K17*D17*H17*I7*J17</f>
        <v>11.280000000000001</v>
      </c>
      <c r="N17" s="10" t="s">
        <v>63</v>
      </c>
      <c r="O17" s="8">
        <f t="shared" si="1"/>
        <v>0</v>
      </c>
      <c r="P17" s="9" t="s">
        <v>64</v>
      </c>
      <c r="Q17" s="8">
        <f>(K17*TAN(ACOS(F17)))*D17*H17*I7*J17</f>
        <v>0</v>
      </c>
      <c r="R17" s="9" t="s">
        <v>64</v>
      </c>
      <c r="S17" s="8">
        <f>K17/F17</f>
        <v>14.1</v>
      </c>
      <c r="T17" s="9" t="s">
        <v>65</v>
      </c>
      <c r="U17" s="8">
        <f>S17*D17*H17*I7*J17</f>
        <v>11.280000000000001</v>
      </c>
      <c r="V17" s="9" t="s">
        <v>65</v>
      </c>
      <c r="W17" s="15"/>
      <c r="X17" s="26" t="s">
        <v>71</v>
      </c>
      <c r="Y17" s="27"/>
      <c r="Z17" s="23">
        <f>IF(Z15&gt;=10,0.6,IF(Z15&gt;=6,0.7,IF(Z15&lt;6,0.8)))</f>
        <v>0.6</v>
      </c>
    </row>
    <row r="18" spans="1:27" x14ac:dyDescent="0.25">
      <c r="S18" s="12"/>
      <c r="T18" s="13"/>
      <c r="W18" s="15"/>
      <c r="X18" s="28"/>
      <c r="Y18" s="29"/>
      <c r="Z18" s="24"/>
    </row>
    <row r="19" spans="1:27" ht="15" customHeight="1" x14ac:dyDescent="0.25">
      <c r="S19" s="12"/>
      <c r="T19" s="13"/>
      <c r="W19" s="15"/>
      <c r="X19" s="30"/>
      <c r="Y19" s="31"/>
      <c r="Z19" s="25"/>
    </row>
    <row r="20" spans="1:27" x14ac:dyDescent="0.25">
      <c r="S20" s="12"/>
      <c r="T20" s="13"/>
      <c r="W20" s="15"/>
      <c r="X20" s="41" t="s">
        <v>68</v>
      </c>
      <c r="Y20" s="36">
        <f>Y7*Z17</f>
        <v>21.037466666666671</v>
      </c>
      <c r="Z20" s="34" t="s">
        <v>63</v>
      </c>
      <c r="AA20" s="20">
        <f>Y20</f>
        <v>21.037466666666671</v>
      </c>
    </row>
    <row r="21" spans="1:27" ht="15" customHeight="1" x14ac:dyDescent="0.25">
      <c r="S21" s="12"/>
      <c r="T21" s="13"/>
      <c r="W21" s="15"/>
      <c r="X21" s="41"/>
      <c r="Y21" s="45"/>
      <c r="Z21" s="40"/>
    </row>
    <row r="22" spans="1:27" x14ac:dyDescent="0.25">
      <c r="S22" s="12"/>
      <c r="T22" s="13"/>
      <c r="W22" s="15"/>
      <c r="X22" s="41" t="s">
        <v>69</v>
      </c>
      <c r="Y22" s="36">
        <f>Y9*Z17</f>
        <v>6.7864039725199445</v>
      </c>
      <c r="Z22" s="34" t="s">
        <v>64</v>
      </c>
      <c r="AA22" s="20">
        <f>Y22</f>
        <v>6.7864039725199445</v>
      </c>
    </row>
    <row r="23" spans="1:27" ht="15" customHeight="1" x14ac:dyDescent="0.25">
      <c r="S23" s="12"/>
      <c r="T23" s="13"/>
      <c r="W23" s="15"/>
      <c r="X23" s="41"/>
      <c r="Y23" s="45"/>
      <c r="Z23" s="40"/>
    </row>
    <row r="24" spans="1:27" x14ac:dyDescent="0.25">
      <c r="W24" s="15"/>
      <c r="X24" s="41" t="s">
        <v>70</v>
      </c>
      <c r="Y24" s="36">
        <f>Y11*Z17</f>
        <v>22.576140350877193</v>
      </c>
      <c r="Z24" s="34" t="s">
        <v>65</v>
      </c>
      <c r="AA24" s="20">
        <f>Y24</f>
        <v>22.576140350877193</v>
      </c>
    </row>
    <row r="25" spans="1:27" ht="15" customHeight="1" x14ac:dyDescent="0.25">
      <c r="W25" s="16"/>
      <c r="X25" s="41"/>
      <c r="Y25" s="45"/>
      <c r="Z25" s="40"/>
    </row>
  </sheetData>
  <mergeCells count="72">
    <mergeCell ref="Z17:Z19"/>
    <mergeCell ref="X22:X23"/>
    <mergeCell ref="Y22:Y23"/>
    <mergeCell ref="Z22:Z23"/>
    <mergeCell ref="X24:X25"/>
    <mergeCell ref="Y24:Y25"/>
    <mergeCell ref="Z24:Z25"/>
    <mergeCell ref="X20:X21"/>
    <mergeCell ref="Y20:Y21"/>
    <mergeCell ref="Z20:Z21"/>
    <mergeCell ref="X14:Z14"/>
    <mergeCell ref="A15:C15"/>
    <mergeCell ref="D15:E15"/>
    <mergeCell ref="F15:G15"/>
    <mergeCell ref="X15:Y16"/>
    <mergeCell ref="Z15:Z16"/>
    <mergeCell ref="A16:C16"/>
    <mergeCell ref="D16:E16"/>
    <mergeCell ref="F16:G16"/>
    <mergeCell ref="A17:C17"/>
    <mergeCell ref="D17:E17"/>
    <mergeCell ref="F17:G17"/>
    <mergeCell ref="X17:Y19"/>
    <mergeCell ref="A13:C13"/>
    <mergeCell ref="D13:E13"/>
    <mergeCell ref="F13:G13"/>
    <mergeCell ref="A14:C14"/>
    <mergeCell ref="D14:E14"/>
    <mergeCell ref="F14:G14"/>
    <mergeCell ref="A11:C11"/>
    <mergeCell ref="D11:E11"/>
    <mergeCell ref="F11:G11"/>
    <mergeCell ref="X11:X12"/>
    <mergeCell ref="Y11:Y12"/>
    <mergeCell ref="F9:G9"/>
    <mergeCell ref="X9:X10"/>
    <mergeCell ref="Y9:Y10"/>
    <mergeCell ref="Z9:Z10"/>
    <mergeCell ref="A10:C10"/>
    <mergeCell ref="D10:E10"/>
    <mergeCell ref="F10:G10"/>
    <mergeCell ref="X7:X8"/>
    <mergeCell ref="Y7:Y8"/>
    <mergeCell ref="Z7:Z8"/>
    <mergeCell ref="A8:C8"/>
    <mergeCell ref="D8:E8"/>
    <mergeCell ref="F8:G8"/>
    <mergeCell ref="A7:C7"/>
    <mergeCell ref="D7:E7"/>
    <mergeCell ref="F7:G7"/>
    <mergeCell ref="I7:I17"/>
    <mergeCell ref="A9:C9"/>
    <mergeCell ref="Z11:Z12"/>
    <mergeCell ref="A12:C12"/>
    <mergeCell ref="D12:E12"/>
    <mergeCell ref="F12:G12"/>
    <mergeCell ref="D9:E9"/>
    <mergeCell ref="A1:Z4"/>
    <mergeCell ref="A5:C6"/>
    <mergeCell ref="D5:E6"/>
    <mergeCell ref="F5:G6"/>
    <mergeCell ref="H5:J5"/>
    <mergeCell ref="K5:N5"/>
    <mergeCell ref="O5:R5"/>
    <mergeCell ref="S5:V5"/>
    <mergeCell ref="X5:Z6"/>
    <mergeCell ref="K6:L6"/>
    <mergeCell ref="M6:N6"/>
    <mergeCell ref="O6:P6"/>
    <mergeCell ref="Q6:R6"/>
    <mergeCell ref="S6:T6"/>
    <mergeCell ref="U6:V6"/>
  </mergeCells>
  <pageMargins left="0.7" right="0.7" top="0.75" bottom="0.75" header="0.3" footer="0.3"/>
  <pageSetup paperSize="9" scale="5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C364-2510-4C5D-8469-CE64CFA3C45C}">
  <sheetPr>
    <tabColor theme="2" tint="-0.499984740745262"/>
    <pageSetUpPr fitToPage="1"/>
  </sheetPr>
  <dimension ref="A1:AA25"/>
  <sheetViews>
    <sheetView topLeftCell="A4" zoomScale="70" zoomScaleNormal="70" workbookViewId="0">
      <selection activeCell="L39" sqref="L39"/>
    </sheetView>
  </sheetViews>
  <sheetFormatPr defaultRowHeight="15" x14ac:dyDescent="0.25"/>
  <cols>
    <col min="23" max="23" width="4.140625" customWidth="1"/>
    <col min="24" max="24" width="10.140625" customWidth="1"/>
    <col min="27" max="27" width="0" hidden="1" customWidth="1"/>
  </cols>
  <sheetData>
    <row r="1" spans="1:26" ht="15" customHeight="1" x14ac:dyDescent="0.25">
      <c r="A1" s="47" t="s">
        <v>83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3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50" t="s">
        <v>2</v>
      </c>
      <c r="B5" s="51"/>
      <c r="C5" s="52"/>
      <c r="D5" s="50" t="s">
        <v>1</v>
      </c>
      <c r="E5" s="52"/>
      <c r="F5" s="42" t="s">
        <v>62</v>
      </c>
      <c r="G5" s="42"/>
      <c r="H5" s="48" t="s">
        <v>56</v>
      </c>
      <c r="I5" s="48"/>
      <c r="J5" s="48"/>
      <c r="K5" s="48" t="s">
        <v>66</v>
      </c>
      <c r="L5" s="48"/>
      <c r="M5" s="48"/>
      <c r="N5" s="48"/>
      <c r="O5" s="48" t="s">
        <v>67</v>
      </c>
      <c r="P5" s="48"/>
      <c r="Q5" s="48"/>
      <c r="R5" s="48"/>
      <c r="S5" s="48" t="s">
        <v>73</v>
      </c>
      <c r="T5" s="48"/>
      <c r="U5" s="48"/>
      <c r="V5" s="48"/>
      <c r="W5" s="7"/>
      <c r="X5" s="46" t="s">
        <v>72</v>
      </c>
      <c r="Y5" s="46"/>
      <c r="Z5" s="46"/>
    </row>
    <row r="6" spans="1:26" ht="94.5" customHeight="1" x14ac:dyDescent="0.25">
      <c r="A6" s="53"/>
      <c r="B6" s="54"/>
      <c r="C6" s="55"/>
      <c r="D6" s="53"/>
      <c r="E6" s="55"/>
      <c r="F6" s="42"/>
      <c r="G6" s="42"/>
      <c r="H6" s="2" t="s">
        <v>59</v>
      </c>
      <c r="I6" s="2" t="s">
        <v>60</v>
      </c>
      <c r="J6" s="3" t="s">
        <v>61</v>
      </c>
      <c r="K6" s="43" t="s">
        <v>54</v>
      </c>
      <c r="L6" s="43"/>
      <c r="M6" s="43" t="s">
        <v>55</v>
      </c>
      <c r="N6" s="43"/>
      <c r="O6" s="43" t="s">
        <v>54</v>
      </c>
      <c r="P6" s="43"/>
      <c r="Q6" s="43" t="s">
        <v>55</v>
      </c>
      <c r="R6" s="43"/>
      <c r="S6" s="43" t="s">
        <v>54</v>
      </c>
      <c r="T6" s="43"/>
      <c r="U6" s="43" t="s">
        <v>55</v>
      </c>
      <c r="V6" s="49"/>
      <c r="W6" s="14"/>
      <c r="X6" s="46"/>
      <c r="Y6" s="46"/>
      <c r="Z6" s="46"/>
    </row>
    <row r="7" spans="1:26" x14ac:dyDescent="0.25">
      <c r="A7" s="33" t="s">
        <v>43</v>
      </c>
      <c r="B7" s="33"/>
      <c r="C7" s="33"/>
      <c r="D7" s="21">
        <v>6</v>
      </c>
      <c r="E7" s="21"/>
      <c r="F7" s="21">
        <v>0.95</v>
      </c>
      <c r="G7" s="21"/>
      <c r="H7" s="5">
        <v>1</v>
      </c>
      <c r="I7" s="56">
        <v>1</v>
      </c>
      <c r="J7" s="6">
        <v>1</v>
      </c>
      <c r="K7" s="11">
        <f>(12/0.9)/1000</f>
        <v>1.3333333333333332E-2</v>
      </c>
      <c r="L7" s="10" t="s">
        <v>63</v>
      </c>
      <c r="M7" s="11">
        <f>K7*D7*H7*I7*J7</f>
        <v>7.9999999999999988E-2</v>
      </c>
      <c r="N7" s="10" t="s">
        <v>63</v>
      </c>
      <c r="O7" s="8">
        <f>K7*TAN(ACOS(F7))</f>
        <v>4.3824547357181757E-3</v>
      </c>
      <c r="P7" s="9" t="s">
        <v>64</v>
      </c>
      <c r="Q7" s="8">
        <f>(K7*TAN(ACOS(F7)))*D7*H7*I7*J7</f>
        <v>2.6294728414309056E-2</v>
      </c>
      <c r="R7" s="9" t="s">
        <v>64</v>
      </c>
      <c r="S7" s="8">
        <f t="shared" ref="S7:S12" si="0">K7/F7</f>
        <v>1.4035087719298246E-2</v>
      </c>
      <c r="T7" s="9" t="s">
        <v>65</v>
      </c>
      <c r="U7" s="8">
        <f>S7*D7*H7*I7*J7</f>
        <v>8.4210526315789472E-2</v>
      </c>
      <c r="V7" s="9" t="s">
        <v>65</v>
      </c>
      <c r="W7" s="15"/>
      <c r="X7" s="32" t="s">
        <v>66</v>
      </c>
      <c r="Y7" s="36">
        <f>SUM(M7:M15)</f>
        <v>28.648444444444447</v>
      </c>
      <c r="Z7" s="34" t="s">
        <v>63</v>
      </c>
    </row>
    <row r="8" spans="1:26" x14ac:dyDescent="0.25">
      <c r="A8" s="33" t="s">
        <v>48</v>
      </c>
      <c r="B8" s="33"/>
      <c r="C8" s="33"/>
      <c r="D8" s="21">
        <v>8</v>
      </c>
      <c r="E8" s="21"/>
      <c r="F8" s="21">
        <v>0.95</v>
      </c>
      <c r="G8" s="21"/>
      <c r="H8" s="6">
        <v>1</v>
      </c>
      <c r="I8" s="57"/>
      <c r="J8" s="6">
        <v>1</v>
      </c>
      <c r="K8" s="11">
        <f>(30/0.9)/1000</f>
        <v>3.3333333333333333E-2</v>
      </c>
      <c r="L8" s="10" t="s">
        <v>63</v>
      </c>
      <c r="M8" s="11">
        <f>K8*D8*H8*I7*J8</f>
        <v>0.26666666666666666</v>
      </c>
      <c r="N8" s="10" t="s">
        <v>63</v>
      </c>
      <c r="O8" s="8">
        <f>K8*TAN(ACOS(F8))</f>
        <v>1.095613683929544E-2</v>
      </c>
      <c r="P8" s="9" t="s">
        <v>64</v>
      </c>
      <c r="Q8" s="8">
        <f>(K8*TAN(ACOS(F8)))*D8*H8*I7*J8</f>
        <v>8.7649094714363524E-2</v>
      </c>
      <c r="R8" s="9" t="s">
        <v>64</v>
      </c>
      <c r="S8" s="8">
        <f t="shared" si="0"/>
        <v>3.5087719298245612E-2</v>
      </c>
      <c r="T8" s="9" t="s">
        <v>65</v>
      </c>
      <c r="U8" s="8">
        <f>S8*D8*H8*I7*J8</f>
        <v>0.2807017543859649</v>
      </c>
      <c r="V8" s="9" t="s">
        <v>65</v>
      </c>
      <c r="W8" s="15"/>
      <c r="X8" s="32"/>
      <c r="Y8" s="37"/>
      <c r="Z8" s="35"/>
    </row>
    <row r="9" spans="1:26" x14ac:dyDescent="0.25">
      <c r="A9" s="33" t="s">
        <v>49</v>
      </c>
      <c r="B9" s="33"/>
      <c r="C9" s="33"/>
      <c r="D9" s="21">
        <v>2</v>
      </c>
      <c r="E9" s="21"/>
      <c r="F9" s="21">
        <v>0.95</v>
      </c>
      <c r="G9" s="21"/>
      <c r="H9" s="6">
        <v>1</v>
      </c>
      <c r="I9" s="57"/>
      <c r="J9" s="6">
        <v>1</v>
      </c>
      <c r="K9" s="11">
        <f>(43/0.9)/1000</f>
        <v>4.777777777777778E-2</v>
      </c>
      <c r="L9" s="10" t="s">
        <v>63</v>
      </c>
      <c r="M9" s="11">
        <f>K9*D9*H9*I7*J9</f>
        <v>9.555555555555556E-2</v>
      </c>
      <c r="N9" s="10" t="s">
        <v>63</v>
      </c>
      <c r="O9" s="8">
        <f>K9*TAN(ACOS(F9))</f>
        <v>1.5703796136323465E-2</v>
      </c>
      <c r="P9" s="9" t="s">
        <v>64</v>
      </c>
      <c r="Q9" s="8">
        <f>(K9*TAN(ACOS(F9)))*D9*H9*I7*J9</f>
        <v>3.1407592272646931E-2</v>
      </c>
      <c r="R9" s="9" t="s">
        <v>64</v>
      </c>
      <c r="S9" s="8">
        <f t="shared" si="0"/>
        <v>5.0292397660818715E-2</v>
      </c>
      <c r="T9" s="9" t="s">
        <v>65</v>
      </c>
      <c r="U9" s="8">
        <f>S9*D9*H9*I7*J9</f>
        <v>0.10058479532163743</v>
      </c>
      <c r="V9" s="9" t="s">
        <v>65</v>
      </c>
      <c r="W9" s="15"/>
      <c r="X9" s="32" t="s">
        <v>67</v>
      </c>
      <c r="Y9" s="36">
        <f>SUM(Q7:Q15)</f>
        <v>8.1715473271748671</v>
      </c>
      <c r="Z9" s="34" t="s">
        <v>64</v>
      </c>
    </row>
    <row r="10" spans="1:26" x14ac:dyDescent="0.25">
      <c r="A10" s="33" t="s">
        <v>50</v>
      </c>
      <c r="B10" s="33"/>
      <c r="C10" s="33"/>
      <c r="D10" s="21">
        <v>6</v>
      </c>
      <c r="E10" s="21"/>
      <c r="F10" s="21">
        <v>0.95</v>
      </c>
      <c r="G10" s="21"/>
      <c r="H10" s="6">
        <v>1</v>
      </c>
      <c r="I10" s="57"/>
      <c r="J10" s="6">
        <v>1</v>
      </c>
      <c r="K10" s="11">
        <f>(36/0.9)/1000</f>
        <v>0.04</v>
      </c>
      <c r="L10" s="10" t="s">
        <v>63</v>
      </c>
      <c r="M10" s="11">
        <f>K10*D10*H10*I7*J10</f>
        <v>0.24</v>
      </c>
      <c r="N10" s="10" t="s">
        <v>63</v>
      </c>
      <c r="O10" s="8">
        <f t="shared" ref="O10:O12" si="1">K10*TAN(ACOS(F10))</f>
        <v>1.3147364207154528E-2</v>
      </c>
      <c r="P10" s="9" t="s">
        <v>64</v>
      </c>
      <c r="Q10" s="8">
        <f>(K10*TAN(ACOS(F10)))*D10*H10*I7*J10</f>
        <v>7.8884185242927174E-2</v>
      </c>
      <c r="R10" s="9" t="s">
        <v>64</v>
      </c>
      <c r="S10" s="8">
        <f t="shared" si="0"/>
        <v>4.2105263157894743E-2</v>
      </c>
      <c r="T10" s="9" t="s">
        <v>65</v>
      </c>
      <c r="U10" s="8">
        <f>S10*D10*H10*I7*J10</f>
        <v>0.25263157894736843</v>
      </c>
      <c r="V10" s="9" t="s">
        <v>65</v>
      </c>
      <c r="W10" s="15"/>
      <c r="X10" s="32"/>
      <c r="Y10" s="38"/>
      <c r="Z10" s="35"/>
    </row>
    <row r="11" spans="1:26" x14ac:dyDescent="0.25">
      <c r="A11" s="33" t="s">
        <v>51</v>
      </c>
      <c r="B11" s="33"/>
      <c r="C11" s="33"/>
      <c r="D11" s="21">
        <v>8</v>
      </c>
      <c r="E11" s="21"/>
      <c r="F11" s="21">
        <v>0.95</v>
      </c>
      <c r="G11" s="21"/>
      <c r="H11" s="6">
        <v>1</v>
      </c>
      <c r="I11" s="57"/>
      <c r="J11" s="6">
        <v>1</v>
      </c>
      <c r="K11" s="11">
        <f>(13/0.9)/1000</f>
        <v>1.4444444444444444E-2</v>
      </c>
      <c r="L11" s="10" t="s">
        <v>63</v>
      </c>
      <c r="M11" s="11">
        <f>K11*D11*H11*I7*J11</f>
        <v>0.11555555555555555</v>
      </c>
      <c r="N11" s="10" t="s">
        <v>63</v>
      </c>
      <c r="O11" s="8">
        <f t="shared" si="1"/>
        <v>4.7476592970280241E-3</v>
      </c>
      <c r="P11" s="9" t="s">
        <v>64</v>
      </c>
      <c r="Q11" s="8">
        <f>(K11*TAN(ACOS(F11)))*D11*H11*I7*J11</f>
        <v>3.7981274376224193E-2</v>
      </c>
      <c r="R11" s="9" t="s">
        <v>64</v>
      </c>
      <c r="S11" s="8">
        <f t="shared" si="0"/>
        <v>1.5204678362573099E-2</v>
      </c>
      <c r="T11" s="9" t="s">
        <v>65</v>
      </c>
      <c r="U11" s="8">
        <f>S11*D11*H11*I7*J11</f>
        <v>0.12163742690058479</v>
      </c>
      <c r="V11" s="9" t="s">
        <v>65</v>
      </c>
      <c r="W11" s="15"/>
      <c r="X11" s="32" t="s">
        <v>73</v>
      </c>
      <c r="Y11" s="36">
        <f>SUM(U7:U15)</f>
        <v>30.487953216374269</v>
      </c>
      <c r="Z11" s="34" t="s">
        <v>65</v>
      </c>
    </row>
    <row r="12" spans="1:26" x14ac:dyDescent="0.25">
      <c r="A12" s="33" t="s">
        <v>52</v>
      </c>
      <c r="B12" s="33"/>
      <c r="C12" s="33"/>
      <c r="D12" s="21">
        <v>28</v>
      </c>
      <c r="E12" s="21"/>
      <c r="F12" s="21">
        <v>0.95</v>
      </c>
      <c r="G12" s="21"/>
      <c r="H12" s="6">
        <v>1</v>
      </c>
      <c r="I12" s="57"/>
      <c r="J12" s="6">
        <v>1</v>
      </c>
      <c r="K12" s="11">
        <f>(24/0.9)/1000</f>
        <v>2.6666666666666665E-2</v>
      </c>
      <c r="L12" s="10" t="s">
        <v>63</v>
      </c>
      <c r="M12" s="11">
        <f>K12*D12*H12*I7*J12</f>
        <v>0.74666666666666659</v>
      </c>
      <c r="N12" s="10" t="s">
        <v>63</v>
      </c>
      <c r="O12" s="8">
        <f t="shared" si="1"/>
        <v>8.7649094714363513E-3</v>
      </c>
      <c r="P12" s="9" t="s">
        <v>64</v>
      </c>
      <c r="Q12" s="8">
        <f>(K12*TAN(ACOS(F12)))*D12*H12*I7*J12</f>
        <v>0.24541746520021784</v>
      </c>
      <c r="R12" s="9" t="s">
        <v>64</v>
      </c>
      <c r="S12" s="8">
        <f t="shared" si="0"/>
        <v>2.8070175438596492E-2</v>
      </c>
      <c r="T12" s="9" t="s">
        <v>65</v>
      </c>
      <c r="U12" s="8">
        <f>S12*D12*H12*I7*J12</f>
        <v>0.78596491228070176</v>
      </c>
      <c r="V12" s="9" t="s">
        <v>65</v>
      </c>
      <c r="W12" s="15"/>
      <c r="X12" s="32"/>
      <c r="Y12" s="39"/>
      <c r="Z12" s="40"/>
    </row>
    <row r="13" spans="1:26" x14ac:dyDescent="0.25">
      <c r="A13" s="33" t="s">
        <v>77</v>
      </c>
      <c r="B13" s="33"/>
      <c r="C13" s="33"/>
      <c r="D13" s="21">
        <v>12</v>
      </c>
      <c r="E13" s="21"/>
      <c r="F13" s="21">
        <v>0.9</v>
      </c>
      <c r="G13" s="21"/>
      <c r="H13" s="18">
        <f>0.1+(0.9/D13)</f>
        <v>0.17499999999999999</v>
      </c>
      <c r="I13" s="57"/>
      <c r="J13" s="6">
        <v>1</v>
      </c>
      <c r="K13" s="11">
        <v>3.68</v>
      </c>
      <c r="L13" s="10" t="s">
        <v>63</v>
      </c>
      <c r="M13" s="11">
        <f>K13*D13*H13*I7*J13</f>
        <v>7.7279999999999998</v>
      </c>
      <c r="N13" s="10" t="s">
        <v>63</v>
      </c>
      <c r="O13" s="8">
        <f>K13*TAN(ACOS(F13))</f>
        <v>1.7823053458032974</v>
      </c>
      <c r="P13" s="9" t="s">
        <v>64</v>
      </c>
      <c r="Q13" s="8">
        <f>(K13*TAN(ACOS(F13)))*D13*H13*I7*J13</f>
        <v>3.7428412261869242</v>
      </c>
      <c r="R13" s="9" t="s">
        <v>64</v>
      </c>
      <c r="S13" s="8">
        <f>K13/F13</f>
        <v>4.0888888888888886</v>
      </c>
      <c r="T13" s="9" t="s">
        <v>65</v>
      </c>
      <c r="U13" s="8">
        <f>S13*D13*H13*I7*J13</f>
        <v>8.586666666666666</v>
      </c>
      <c r="V13" s="9" t="s">
        <v>65</v>
      </c>
      <c r="W13" s="15"/>
      <c r="X13" s="1"/>
      <c r="Y13" s="1"/>
      <c r="Z13" s="17"/>
    </row>
    <row r="14" spans="1:26" x14ac:dyDescent="0.25">
      <c r="A14" s="33" t="s">
        <v>46</v>
      </c>
      <c r="B14" s="33"/>
      <c r="C14" s="33"/>
      <c r="D14" s="21">
        <v>13</v>
      </c>
      <c r="E14" s="21"/>
      <c r="F14" s="21">
        <v>0.9</v>
      </c>
      <c r="G14" s="21"/>
      <c r="H14" s="18">
        <f>0.1+(0.9/D14)</f>
        <v>0.16923076923076924</v>
      </c>
      <c r="I14" s="57"/>
      <c r="J14" s="6">
        <v>1</v>
      </c>
      <c r="K14" s="11">
        <v>3.68</v>
      </c>
      <c r="L14" s="10" t="s">
        <v>63</v>
      </c>
      <c r="M14" s="11">
        <f>K14*D14*H14*I7*J14</f>
        <v>8.0960000000000019</v>
      </c>
      <c r="N14" s="10" t="s">
        <v>63</v>
      </c>
      <c r="O14" s="8">
        <f>K14*TAN(ACOS(F14))</f>
        <v>1.7823053458032974</v>
      </c>
      <c r="P14" s="9" t="s">
        <v>64</v>
      </c>
      <c r="Q14" s="8">
        <f>(K14*TAN(ACOS(F14)))*D14*H14*I7*J14</f>
        <v>3.9210717607672545</v>
      </c>
      <c r="R14" s="9" t="s">
        <v>64</v>
      </c>
      <c r="S14" s="8">
        <f>K14/F14</f>
        <v>4.0888888888888886</v>
      </c>
      <c r="T14" s="9" t="s">
        <v>65</v>
      </c>
      <c r="U14" s="8">
        <f>S14*D14*H14*I7*J14</f>
        <v>8.9955555555555549</v>
      </c>
      <c r="V14" s="9" t="s">
        <v>65</v>
      </c>
      <c r="W14" s="15"/>
      <c r="X14" s="44" t="s">
        <v>79</v>
      </c>
      <c r="Y14" s="44"/>
      <c r="Z14" s="44"/>
    </row>
    <row r="15" spans="1:26" x14ac:dyDescent="0.25">
      <c r="A15" s="33" t="s">
        <v>36</v>
      </c>
      <c r="B15" s="33"/>
      <c r="C15" s="33"/>
      <c r="D15" s="21">
        <v>1</v>
      </c>
      <c r="E15" s="21"/>
      <c r="F15" s="21">
        <v>1</v>
      </c>
      <c r="G15" s="21"/>
      <c r="H15" s="6">
        <v>1</v>
      </c>
      <c r="I15" s="58"/>
      <c r="J15" s="6">
        <v>0.8</v>
      </c>
      <c r="K15" s="11">
        <v>14.1</v>
      </c>
      <c r="L15" s="10" t="s">
        <v>63</v>
      </c>
      <c r="M15" s="11">
        <f>K15*D15*H15*I7*J15</f>
        <v>11.280000000000001</v>
      </c>
      <c r="N15" s="10" t="s">
        <v>63</v>
      </c>
      <c r="O15" s="8">
        <f>K15*TAN(ACOS(F15))</f>
        <v>0</v>
      </c>
      <c r="P15" s="9" t="s">
        <v>64</v>
      </c>
      <c r="Q15" s="8">
        <f>(K15*TAN(ACOS(F15)))*D15*H15*I7*J15</f>
        <v>0</v>
      </c>
      <c r="R15" s="9" t="s">
        <v>64</v>
      </c>
      <c r="S15" s="8">
        <f>K15/F15</f>
        <v>14.1</v>
      </c>
      <c r="T15" s="9" t="s">
        <v>65</v>
      </c>
      <c r="U15" s="8">
        <f>S15*D15*H15*I7*J15</f>
        <v>11.280000000000001</v>
      </c>
      <c r="V15" s="9" t="s">
        <v>65</v>
      </c>
      <c r="W15" s="15"/>
      <c r="X15" s="42" t="s">
        <v>57</v>
      </c>
      <c r="Y15" s="42"/>
      <c r="Z15" s="43">
        <v>10</v>
      </c>
    </row>
    <row r="16" spans="1:26" x14ac:dyDescent="0.25">
      <c r="S16" s="12"/>
      <c r="T16" s="13"/>
      <c r="W16" s="15"/>
      <c r="X16" s="42"/>
      <c r="Y16" s="42"/>
      <c r="Z16" s="43"/>
    </row>
    <row r="17" spans="19:27" ht="15" customHeight="1" x14ac:dyDescent="0.25">
      <c r="S17" s="12"/>
      <c r="T17" s="13"/>
      <c r="W17" s="15"/>
      <c r="X17" s="26" t="s">
        <v>71</v>
      </c>
      <c r="Y17" s="27"/>
      <c r="Z17" s="23">
        <f>IF(Z15&gt;=10,0.6,IF(Z15&gt;=6,0.7,IF(Z15&lt;6,0.8)))</f>
        <v>0.6</v>
      </c>
    </row>
    <row r="18" spans="19:27" x14ac:dyDescent="0.25">
      <c r="S18" s="12"/>
      <c r="T18" s="13"/>
      <c r="W18" s="15"/>
      <c r="X18" s="28"/>
      <c r="Y18" s="29"/>
      <c r="Z18" s="24"/>
    </row>
    <row r="19" spans="19:27" ht="15" customHeight="1" x14ac:dyDescent="0.25">
      <c r="S19" s="12"/>
      <c r="T19" s="13"/>
      <c r="W19" s="15"/>
      <c r="X19" s="30"/>
      <c r="Y19" s="31"/>
      <c r="Z19" s="25"/>
    </row>
    <row r="20" spans="19:27" x14ac:dyDescent="0.25">
      <c r="S20" s="12"/>
      <c r="T20" s="13"/>
      <c r="W20" s="15"/>
      <c r="X20" s="41" t="s">
        <v>68</v>
      </c>
      <c r="Y20" s="36">
        <f>Y7*Z17</f>
        <v>17.189066666666669</v>
      </c>
      <c r="Z20" s="34" t="s">
        <v>63</v>
      </c>
      <c r="AA20" s="20">
        <f>Y20</f>
        <v>17.189066666666669</v>
      </c>
    </row>
    <row r="21" spans="19:27" ht="15" customHeight="1" x14ac:dyDescent="0.25">
      <c r="S21" s="12"/>
      <c r="T21" s="13"/>
      <c r="W21" s="15"/>
      <c r="X21" s="41"/>
      <c r="Y21" s="45"/>
      <c r="Z21" s="40"/>
    </row>
    <row r="22" spans="19:27" x14ac:dyDescent="0.25">
      <c r="W22" s="15"/>
      <c r="X22" s="41" t="s">
        <v>69</v>
      </c>
      <c r="Y22" s="36">
        <f>Y9*Z17</f>
        <v>4.9029283963049197</v>
      </c>
      <c r="Z22" s="34" t="s">
        <v>64</v>
      </c>
      <c r="AA22" s="20">
        <f>Y22</f>
        <v>4.9029283963049197</v>
      </c>
    </row>
    <row r="23" spans="19:27" ht="15" customHeight="1" x14ac:dyDescent="0.25">
      <c r="W23" s="15"/>
      <c r="X23" s="41"/>
      <c r="Y23" s="45"/>
      <c r="Z23" s="40"/>
    </row>
    <row r="24" spans="19:27" x14ac:dyDescent="0.25">
      <c r="W24" s="15"/>
      <c r="X24" s="41" t="s">
        <v>70</v>
      </c>
      <c r="Y24" s="36">
        <f>Y11*Z17</f>
        <v>18.292771929824561</v>
      </c>
      <c r="Z24" s="34" t="s">
        <v>65</v>
      </c>
      <c r="AA24" s="20">
        <f>Y24</f>
        <v>18.292771929824561</v>
      </c>
    </row>
    <row r="25" spans="19:27" ht="15" customHeight="1" x14ac:dyDescent="0.25">
      <c r="W25" s="16"/>
      <c r="X25" s="41"/>
      <c r="Y25" s="45"/>
      <c r="Z25" s="40"/>
    </row>
  </sheetData>
  <mergeCells count="66">
    <mergeCell ref="X22:X23"/>
    <mergeCell ref="Y22:Y23"/>
    <mergeCell ref="Z22:Z23"/>
    <mergeCell ref="X24:X25"/>
    <mergeCell ref="Y24:Y25"/>
    <mergeCell ref="Z24:Z25"/>
    <mergeCell ref="X20:X21"/>
    <mergeCell ref="Y20:Y21"/>
    <mergeCell ref="Z20:Z21"/>
    <mergeCell ref="I7:I15"/>
    <mergeCell ref="X14:Z14"/>
    <mergeCell ref="Z11:Z12"/>
    <mergeCell ref="Z7:Z8"/>
    <mergeCell ref="X17:Y19"/>
    <mergeCell ref="Z17:Z19"/>
    <mergeCell ref="A13:C13"/>
    <mergeCell ref="D13:E13"/>
    <mergeCell ref="F13:G13"/>
    <mergeCell ref="X15:Y16"/>
    <mergeCell ref="Z15:Z16"/>
    <mergeCell ref="A14:C14"/>
    <mergeCell ref="D14:E14"/>
    <mergeCell ref="F14:G14"/>
    <mergeCell ref="A15:C15"/>
    <mergeCell ref="D15:E15"/>
    <mergeCell ref="F15:G15"/>
    <mergeCell ref="Z9:Z10"/>
    <mergeCell ref="A11:C11"/>
    <mergeCell ref="D11:E11"/>
    <mergeCell ref="F11:G11"/>
    <mergeCell ref="X11:X12"/>
    <mergeCell ref="Y11:Y12"/>
    <mergeCell ref="A12:C12"/>
    <mergeCell ref="D12:E12"/>
    <mergeCell ref="F12:G12"/>
    <mergeCell ref="A10:C10"/>
    <mergeCell ref="D10:E10"/>
    <mergeCell ref="F10:G10"/>
    <mergeCell ref="X7:X8"/>
    <mergeCell ref="Y7:Y8"/>
    <mergeCell ref="A8:C8"/>
    <mergeCell ref="D8:E8"/>
    <mergeCell ref="F8:G8"/>
    <mergeCell ref="A7:C7"/>
    <mergeCell ref="D7:E7"/>
    <mergeCell ref="F7:G7"/>
    <mergeCell ref="A9:C9"/>
    <mergeCell ref="D9:E9"/>
    <mergeCell ref="F9:G9"/>
    <mergeCell ref="X9:X10"/>
    <mergeCell ref="Y9:Y10"/>
    <mergeCell ref="A1:Z4"/>
    <mergeCell ref="A5:C6"/>
    <mergeCell ref="D5:E6"/>
    <mergeCell ref="F5:G6"/>
    <mergeCell ref="H5:J5"/>
    <mergeCell ref="K5:N5"/>
    <mergeCell ref="O5:R5"/>
    <mergeCell ref="S5:V5"/>
    <mergeCell ref="X5:Z6"/>
    <mergeCell ref="K6:L6"/>
    <mergeCell ref="M6:N6"/>
    <mergeCell ref="O6:P6"/>
    <mergeCell ref="Q6:R6"/>
    <mergeCell ref="S6:T6"/>
    <mergeCell ref="U6:V6"/>
  </mergeCells>
  <pageMargins left="0.7" right="0.7" top="0.75" bottom="0.75" header="0.3" footer="0.3"/>
  <pageSetup paperSize="9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815D-26C9-4FE8-9544-0E6CD59203C8}">
  <sheetPr>
    <tabColor theme="2" tint="-0.499984740745262"/>
    <pageSetUpPr fitToPage="1"/>
  </sheetPr>
  <dimension ref="A1:AA27"/>
  <sheetViews>
    <sheetView topLeftCell="A7" zoomScale="70" zoomScaleNormal="70" workbookViewId="0">
      <selection activeCell="L39" sqref="L39"/>
    </sheetView>
  </sheetViews>
  <sheetFormatPr defaultRowHeight="15" x14ac:dyDescent="0.25"/>
  <cols>
    <col min="23" max="23" width="4.140625" customWidth="1"/>
    <col min="24" max="24" width="10.140625" customWidth="1"/>
    <col min="27" max="27" width="0" hidden="1" customWidth="1"/>
  </cols>
  <sheetData>
    <row r="1" spans="1:26" ht="15" customHeight="1" x14ac:dyDescent="0.25">
      <c r="A1" s="47" t="s">
        <v>81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3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50" t="s">
        <v>2</v>
      </c>
      <c r="B5" s="51"/>
      <c r="C5" s="52"/>
      <c r="D5" s="50" t="s">
        <v>1</v>
      </c>
      <c r="E5" s="52"/>
      <c r="F5" s="42" t="s">
        <v>62</v>
      </c>
      <c r="G5" s="42"/>
      <c r="H5" s="48" t="s">
        <v>56</v>
      </c>
      <c r="I5" s="48"/>
      <c r="J5" s="48"/>
      <c r="K5" s="48" t="s">
        <v>66</v>
      </c>
      <c r="L5" s="48"/>
      <c r="M5" s="48"/>
      <c r="N5" s="48"/>
      <c r="O5" s="48" t="s">
        <v>67</v>
      </c>
      <c r="P5" s="48"/>
      <c r="Q5" s="48"/>
      <c r="R5" s="48"/>
      <c r="S5" s="48" t="s">
        <v>73</v>
      </c>
      <c r="T5" s="48"/>
      <c r="U5" s="48"/>
      <c r="V5" s="48"/>
      <c r="W5" s="7"/>
      <c r="X5" s="46" t="s">
        <v>72</v>
      </c>
      <c r="Y5" s="46"/>
      <c r="Z5" s="46"/>
    </row>
    <row r="6" spans="1:26" ht="94.5" customHeight="1" x14ac:dyDescent="0.25">
      <c r="A6" s="53"/>
      <c r="B6" s="54"/>
      <c r="C6" s="55"/>
      <c r="D6" s="53"/>
      <c r="E6" s="55"/>
      <c r="F6" s="42"/>
      <c r="G6" s="42"/>
      <c r="H6" s="2" t="s">
        <v>59</v>
      </c>
      <c r="I6" s="2" t="s">
        <v>60</v>
      </c>
      <c r="J6" s="3" t="s">
        <v>61</v>
      </c>
      <c r="K6" s="43" t="s">
        <v>54</v>
      </c>
      <c r="L6" s="43"/>
      <c r="M6" s="43" t="s">
        <v>55</v>
      </c>
      <c r="N6" s="43"/>
      <c r="O6" s="43" t="s">
        <v>54</v>
      </c>
      <c r="P6" s="43"/>
      <c r="Q6" s="43" t="s">
        <v>55</v>
      </c>
      <c r="R6" s="43"/>
      <c r="S6" s="43" t="s">
        <v>54</v>
      </c>
      <c r="T6" s="43"/>
      <c r="U6" s="43" t="s">
        <v>55</v>
      </c>
      <c r="V6" s="49"/>
      <c r="W6" s="14"/>
      <c r="X6" s="46"/>
      <c r="Y6" s="46"/>
      <c r="Z6" s="46"/>
    </row>
    <row r="7" spans="1:26" x14ac:dyDescent="0.25">
      <c r="A7" s="33" t="s">
        <v>38</v>
      </c>
      <c r="B7" s="33"/>
      <c r="C7" s="33"/>
      <c r="D7" s="21">
        <v>2</v>
      </c>
      <c r="E7" s="21"/>
      <c r="F7" s="21">
        <v>0.95</v>
      </c>
      <c r="G7" s="21"/>
      <c r="H7" s="5">
        <v>1</v>
      </c>
      <c r="I7" s="56">
        <v>1</v>
      </c>
      <c r="J7" s="6">
        <v>1</v>
      </c>
      <c r="K7" s="11">
        <f>(40/0.9)/1000</f>
        <v>4.4444444444444446E-2</v>
      </c>
      <c r="L7" s="10" t="s">
        <v>63</v>
      </c>
      <c r="M7" s="11">
        <f>K7*D7*H7*I7*J7</f>
        <v>8.8888888888888892E-2</v>
      </c>
      <c r="N7" s="10" t="s">
        <v>63</v>
      </c>
      <c r="O7" s="8">
        <f>K7*TAN(ACOS(F7))</f>
        <v>1.460818245239392E-2</v>
      </c>
      <c r="P7" s="9" t="s">
        <v>64</v>
      </c>
      <c r="Q7" s="8">
        <f>(K7*TAN(ACOS(F7)))*D7*H7*I7*J7</f>
        <v>2.921636490478784E-2</v>
      </c>
      <c r="R7" s="9" t="s">
        <v>64</v>
      </c>
      <c r="S7" s="8">
        <f t="shared" ref="S7:S16" si="0">K7/F7</f>
        <v>4.6783625730994156E-2</v>
      </c>
      <c r="T7" s="9" t="s">
        <v>65</v>
      </c>
      <c r="U7" s="8">
        <f>S7*D7*H7*I7*J7</f>
        <v>9.3567251461988313E-2</v>
      </c>
      <c r="V7" s="9" t="s">
        <v>65</v>
      </c>
      <c r="W7" s="15"/>
      <c r="X7" s="32" t="s">
        <v>66</v>
      </c>
      <c r="Y7" s="36">
        <f>SUM(M7:M17)</f>
        <v>35.062444444444452</v>
      </c>
      <c r="Z7" s="34" t="s">
        <v>63</v>
      </c>
    </row>
    <row r="8" spans="1:26" x14ac:dyDescent="0.25">
      <c r="A8" s="33" t="s">
        <v>39</v>
      </c>
      <c r="B8" s="33"/>
      <c r="C8" s="33"/>
      <c r="D8" s="21">
        <v>1</v>
      </c>
      <c r="E8" s="21"/>
      <c r="F8" s="21">
        <v>0.95</v>
      </c>
      <c r="G8" s="21"/>
      <c r="H8" s="6">
        <v>1</v>
      </c>
      <c r="I8" s="57"/>
      <c r="J8" s="6">
        <v>1</v>
      </c>
      <c r="K8" s="11">
        <f>(26/0.9)/1000</f>
        <v>2.8888888888888888E-2</v>
      </c>
      <c r="L8" s="10" t="s">
        <v>63</v>
      </c>
      <c r="M8" s="11">
        <f>K8*D8*H8*I7*J8</f>
        <v>2.8888888888888888E-2</v>
      </c>
      <c r="N8" s="10" t="s">
        <v>63</v>
      </c>
      <c r="O8" s="8">
        <f>K8*TAN(ACOS(F8))</f>
        <v>9.4953185940560483E-3</v>
      </c>
      <c r="P8" s="9" t="s">
        <v>64</v>
      </c>
      <c r="Q8" s="8">
        <f>(K8*TAN(ACOS(F8)))*D8*H8*I7*J8</f>
        <v>9.4953185940560483E-3</v>
      </c>
      <c r="R8" s="9" t="s">
        <v>64</v>
      </c>
      <c r="S8" s="8">
        <f t="shared" si="0"/>
        <v>3.0409356725146199E-2</v>
      </c>
      <c r="T8" s="9" t="s">
        <v>65</v>
      </c>
      <c r="U8" s="8">
        <f>S8*D8*H8*I7*J8</f>
        <v>3.0409356725146199E-2</v>
      </c>
      <c r="V8" s="9" t="s">
        <v>65</v>
      </c>
      <c r="W8" s="15"/>
      <c r="X8" s="32"/>
      <c r="Y8" s="37"/>
      <c r="Z8" s="35"/>
    </row>
    <row r="9" spans="1:26" x14ac:dyDescent="0.25">
      <c r="A9" s="33" t="s">
        <v>40</v>
      </c>
      <c r="B9" s="33"/>
      <c r="C9" s="33"/>
      <c r="D9" s="21">
        <v>3</v>
      </c>
      <c r="E9" s="21"/>
      <c r="F9" s="21">
        <v>0.95</v>
      </c>
      <c r="G9" s="21"/>
      <c r="H9" s="6">
        <v>1</v>
      </c>
      <c r="I9" s="57"/>
      <c r="J9" s="6">
        <v>1</v>
      </c>
      <c r="K9" s="11">
        <f>(11/0.9)/1000</f>
        <v>1.2222222222222221E-2</v>
      </c>
      <c r="L9" s="10" t="s">
        <v>63</v>
      </c>
      <c r="M9" s="11">
        <f>K9*D9*H9*I7*J9</f>
        <v>3.6666666666666667E-2</v>
      </c>
      <c r="N9" s="10" t="s">
        <v>63</v>
      </c>
      <c r="O9" s="8">
        <f>K9*TAN(ACOS(F9))</f>
        <v>4.017250174408328E-3</v>
      </c>
      <c r="P9" s="9" t="s">
        <v>64</v>
      </c>
      <c r="Q9" s="8">
        <f>(K9*TAN(ACOS(F9)))*D9*H9*I7*J9</f>
        <v>1.2051750523224984E-2</v>
      </c>
      <c r="R9" s="9" t="s">
        <v>64</v>
      </c>
      <c r="S9" s="8">
        <f t="shared" si="0"/>
        <v>1.2865497076023391E-2</v>
      </c>
      <c r="T9" s="9" t="s">
        <v>65</v>
      </c>
      <c r="U9" s="8">
        <f>S9*D9*H9*I7*J9</f>
        <v>3.8596491228070171E-2</v>
      </c>
      <c r="V9" s="9" t="s">
        <v>65</v>
      </c>
      <c r="W9" s="15"/>
      <c r="X9" s="32" t="s">
        <v>67</v>
      </c>
      <c r="Y9" s="36">
        <f>SUM(Q7:Q17)</f>
        <v>11.310673287533241</v>
      </c>
      <c r="Z9" s="34" t="s">
        <v>64</v>
      </c>
    </row>
    <row r="10" spans="1:26" x14ac:dyDescent="0.25">
      <c r="A10" s="33" t="s">
        <v>41</v>
      </c>
      <c r="B10" s="33"/>
      <c r="C10" s="33"/>
      <c r="D10" s="21">
        <v>2</v>
      </c>
      <c r="E10" s="21"/>
      <c r="F10" s="21">
        <v>0.95</v>
      </c>
      <c r="G10" s="21"/>
      <c r="H10" s="6">
        <v>1</v>
      </c>
      <c r="I10" s="57"/>
      <c r="J10" s="6">
        <v>1</v>
      </c>
      <c r="K10" s="11">
        <f>(24/0.9)/1000</f>
        <v>2.6666666666666665E-2</v>
      </c>
      <c r="L10" s="10" t="s">
        <v>63</v>
      </c>
      <c r="M10" s="11">
        <f>K10*D10*H10*I7*J10</f>
        <v>5.333333333333333E-2</v>
      </c>
      <c r="N10" s="10" t="s">
        <v>63</v>
      </c>
      <c r="O10" s="8">
        <f t="shared" ref="O10:O17" si="1">K10*TAN(ACOS(F10))</f>
        <v>8.7649094714363513E-3</v>
      </c>
      <c r="P10" s="9" t="s">
        <v>64</v>
      </c>
      <c r="Q10" s="8">
        <f>(K10*TAN(ACOS(F10)))*D10*H10*I7*J10</f>
        <v>1.7529818942872703E-2</v>
      </c>
      <c r="R10" s="9" t="s">
        <v>64</v>
      </c>
      <c r="S10" s="8">
        <f t="shared" si="0"/>
        <v>2.8070175438596492E-2</v>
      </c>
      <c r="T10" s="9" t="s">
        <v>65</v>
      </c>
      <c r="U10" s="8">
        <f>S10*D10*H10*I7*J10</f>
        <v>5.6140350877192984E-2</v>
      </c>
      <c r="V10" s="9" t="s">
        <v>65</v>
      </c>
      <c r="W10" s="15"/>
      <c r="X10" s="32"/>
      <c r="Y10" s="38"/>
      <c r="Z10" s="35"/>
    </row>
    <row r="11" spans="1:26" x14ac:dyDescent="0.25">
      <c r="A11" s="33" t="s">
        <v>42</v>
      </c>
      <c r="B11" s="33"/>
      <c r="C11" s="33"/>
      <c r="D11" s="21">
        <v>36</v>
      </c>
      <c r="E11" s="21"/>
      <c r="F11" s="21">
        <v>0.95</v>
      </c>
      <c r="G11" s="21"/>
      <c r="H11" s="6">
        <v>1</v>
      </c>
      <c r="I11" s="57"/>
      <c r="J11" s="6">
        <v>1</v>
      </c>
      <c r="K11" s="11">
        <f>(22/0.9)/1000</f>
        <v>2.4444444444444442E-2</v>
      </c>
      <c r="L11" s="10" t="s">
        <v>63</v>
      </c>
      <c r="M11" s="11">
        <f>K11*D11*H11*I7*J11</f>
        <v>0.87999999999999989</v>
      </c>
      <c r="N11" s="10" t="s">
        <v>63</v>
      </c>
      <c r="O11" s="8">
        <f t="shared" si="1"/>
        <v>8.0345003488166561E-3</v>
      </c>
      <c r="P11" s="9" t="s">
        <v>64</v>
      </c>
      <c r="Q11" s="8">
        <f>(K11*TAN(ACOS(F11)))*D11*H11*I7*J11</f>
        <v>0.28924201255739962</v>
      </c>
      <c r="R11" s="9" t="s">
        <v>64</v>
      </c>
      <c r="S11" s="8">
        <f t="shared" si="0"/>
        <v>2.5730994152046782E-2</v>
      </c>
      <c r="T11" s="9" t="s">
        <v>65</v>
      </c>
      <c r="U11" s="8">
        <f>S11*D11*H11*I7*J11</f>
        <v>0.92631578947368409</v>
      </c>
      <c r="V11" s="9" t="s">
        <v>65</v>
      </c>
      <c r="W11" s="15"/>
      <c r="X11" s="32" t="s">
        <v>73</v>
      </c>
      <c r="Y11" s="36">
        <f>SUM(U7:U17)</f>
        <v>37.626900584795322</v>
      </c>
      <c r="Z11" s="34" t="s">
        <v>65</v>
      </c>
    </row>
    <row r="12" spans="1:26" x14ac:dyDescent="0.25">
      <c r="A12" s="33" t="s">
        <v>43</v>
      </c>
      <c r="B12" s="33"/>
      <c r="C12" s="33"/>
      <c r="D12" s="21">
        <v>10</v>
      </c>
      <c r="E12" s="21"/>
      <c r="F12" s="21">
        <v>0.95</v>
      </c>
      <c r="G12" s="21"/>
      <c r="H12" s="6">
        <v>1</v>
      </c>
      <c r="I12" s="57"/>
      <c r="J12" s="6">
        <v>1</v>
      </c>
      <c r="K12" s="11">
        <f>(12/0.9)/1000</f>
        <v>1.3333333333333332E-2</v>
      </c>
      <c r="L12" s="10" t="s">
        <v>63</v>
      </c>
      <c r="M12" s="11">
        <f>K12*D12*H12*I7*J12</f>
        <v>0.13333333333333333</v>
      </c>
      <c r="N12" s="10" t="s">
        <v>63</v>
      </c>
      <c r="O12" s="8">
        <f t="shared" si="1"/>
        <v>4.3824547357181757E-3</v>
      </c>
      <c r="P12" s="9" t="s">
        <v>64</v>
      </c>
      <c r="Q12" s="8">
        <f>(K12*TAN(ACOS(F12)))*D12*H12*I7*J12</f>
        <v>4.3824547357181755E-2</v>
      </c>
      <c r="R12" s="9" t="s">
        <v>64</v>
      </c>
      <c r="S12" s="8">
        <f t="shared" si="0"/>
        <v>1.4035087719298246E-2</v>
      </c>
      <c r="T12" s="9" t="s">
        <v>65</v>
      </c>
      <c r="U12" s="8">
        <f>S12*D12*H12*I7*J12</f>
        <v>0.14035087719298245</v>
      </c>
      <c r="V12" s="9" t="s">
        <v>65</v>
      </c>
      <c r="W12" s="15"/>
      <c r="X12" s="32"/>
      <c r="Y12" s="39"/>
      <c r="Z12" s="40"/>
    </row>
    <row r="13" spans="1:26" x14ac:dyDescent="0.25">
      <c r="A13" s="33" t="s">
        <v>44</v>
      </c>
      <c r="B13" s="33"/>
      <c r="C13" s="33"/>
      <c r="D13" s="21">
        <v>5</v>
      </c>
      <c r="E13" s="21"/>
      <c r="F13" s="21">
        <v>0.95</v>
      </c>
      <c r="G13" s="21"/>
      <c r="H13" s="6">
        <v>1</v>
      </c>
      <c r="I13" s="57"/>
      <c r="J13" s="6">
        <v>1</v>
      </c>
      <c r="K13" s="11">
        <f>(18/0.9)/1000</f>
        <v>0.02</v>
      </c>
      <c r="L13" s="10" t="s">
        <v>63</v>
      </c>
      <c r="M13" s="11">
        <f>K13*D13*H13*I7*J13</f>
        <v>0.1</v>
      </c>
      <c r="N13" s="10" t="s">
        <v>63</v>
      </c>
      <c r="O13" s="8">
        <f t="shared" si="1"/>
        <v>6.5736821035772639E-3</v>
      </c>
      <c r="P13" s="9" t="s">
        <v>64</v>
      </c>
      <c r="Q13" s="8">
        <f>(K13*TAN(ACOS(F13)))*D13*H13*I7*J13</f>
        <v>3.2868410517886318E-2</v>
      </c>
      <c r="R13" s="9" t="s">
        <v>64</v>
      </c>
      <c r="S13" s="8">
        <f t="shared" si="0"/>
        <v>2.1052631578947371E-2</v>
      </c>
      <c r="T13" s="9" t="s">
        <v>65</v>
      </c>
      <c r="U13" s="8">
        <f>S13*D13*H13*I7*J13</f>
        <v>0.10526315789473686</v>
      </c>
      <c r="V13" s="9" t="s">
        <v>65</v>
      </c>
      <c r="W13" s="15"/>
      <c r="X13" s="1"/>
      <c r="Y13" s="1"/>
      <c r="Z13" s="17"/>
    </row>
    <row r="14" spans="1:26" x14ac:dyDescent="0.25">
      <c r="A14" s="33" t="s">
        <v>45</v>
      </c>
      <c r="B14" s="33"/>
      <c r="C14" s="33"/>
      <c r="D14" s="21">
        <v>3</v>
      </c>
      <c r="E14" s="21"/>
      <c r="F14" s="21">
        <v>0.95</v>
      </c>
      <c r="G14" s="21"/>
      <c r="H14" s="6">
        <v>1</v>
      </c>
      <c r="I14" s="57"/>
      <c r="J14" s="6">
        <v>1</v>
      </c>
      <c r="K14" s="11">
        <f>(4/0.9)/1000</f>
        <v>4.4444444444444444E-3</v>
      </c>
      <c r="L14" s="10" t="s">
        <v>63</v>
      </c>
      <c r="M14" s="11">
        <f>K14*D14*H14*I7*J14</f>
        <v>1.3333333333333332E-2</v>
      </c>
      <c r="N14" s="10" t="s">
        <v>63</v>
      </c>
      <c r="O14" s="8">
        <f t="shared" si="1"/>
        <v>1.460818245239392E-3</v>
      </c>
      <c r="P14" s="9" t="s">
        <v>64</v>
      </c>
      <c r="Q14" s="8">
        <f>(K14*TAN(ACOS(F14)))*D14*H14*I7*J14</f>
        <v>4.3824547357181757E-3</v>
      </c>
      <c r="R14" s="9" t="s">
        <v>64</v>
      </c>
      <c r="S14" s="8">
        <f t="shared" si="0"/>
        <v>4.6783625730994153E-3</v>
      </c>
      <c r="T14" s="9" t="s">
        <v>65</v>
      </c>
      <c r="U14" s="8">
        <f>S14*D14*H14*I7*J14</f>
        <v>1.4035087719298246E-2</v>
      </c>
      <c r="V14" s="9" t="s">
        <v>65</v>
      </c>
      <c r="W14" s="15"/>
      <c r="X14" s="44" t="s">
        <v>82</v>
      </c>
      <c r="Y14" s="44"/>
      <c r="Z14" s="44"/>
    </row>
    <row r="15" spans="1:26" x14ac:dyDescent="0.25">
      <c r="A15" s="33" t="s">
        <v>77</v>
      </c>
      <c r="B15" s="33"/>
      <c r="C15" s="33"/>
      <c r="D15" s="21">
        <v>36</v>
      </c>
      <c r="E15" s="21"/>
      <c r="F15" s="21">
        <v>0.9</v>
      </c>
      <c r="G15" s="21"/>
      <c r="H15" s="18">
        <f>0.1+(0.9/D15)</f>
        <v>0.125</v>
      </c>
      <c r="I15" s="57"/>
      <c r="J15" s="6">
        <v>1</v>
      </c>
      <c r="K15" s="11">
        <v>3.68</v>
      </c>
      <c r="L15" s="10" t="s">
        <v>63</v>
      </c>
      <c r="M15" s="11">
        <f>K15*D15*H15*I7*J15</f>
        <v>16.560000000000002</v>
      </c>
      <c r="N15" s="10" t="s">
        <v>63</v>
      </c>
      <c r="O15" s="8">
        <f t="shared" si="1"/>
        <v>1.7823053458032974</v>
      </c>
      <c r="P15" s="9" t="s">
        <v>64</v>
      </c>
      <c r="Q15" s="8">
        <f>(K15*TAN(ACOS(F15)))*D15*H15*I7*J15</f>
        <v>8.0203740561148376</v>
      </c>
      <c r="R15" s="9" t="s">
        <v>64</v>
      </c>
      <c r="S15" s="8">
        <f t="shared" si="0"/>
        <v>4.0888888888888886</v>
      </c>
      <c r="T15" s="9" t="s">
        <v>65</v>
      </c>
      <c r="U15" s="8">
        <f>S15*D15*H15*I7*J15</f>
        <v>18.399999999999999</v>
      </c>
      <c r="V15" s="9" t="s">
        <v>65</v>
      </c>
      <c r="W15" s="15"/>
      <c r="X15" s="42" t="s">
        <v>57</v>
      </c>
      <c r="Y15" s="42"/>
      <c r="Z15" s="43">
        <v>14</v>
      </c>
    </row>
    <row r="16" spans="1:26" x14ac:dyDescent="0.25">
      <c r="A16" s="33" t="s">
        <v>46</v>
      </c>
      <c r="B16" s="33"/>
      <c r="C16" s="33"/>
      <c r="D16" s="21">
        <v>7</v>
      </c>
      <c r="E16" s="21"/>
      <c r="F16" s="21">
        <v>0.9</v>
      </c>
      <c r="G16" s="21"/>
      <c r="H16" s="18">
        <f>0.1+(0.9/D16)</f>
        <v>0.22857142857142859</v>
      </c>
      <c r="I16" s="57"/>
      <c r="J16" s="6">
        <v>1</v>
      </c>
      <c r="K16" s="11">
        <v>3.68</v>
      </c>
      <c r="L16" s="10" t="s">
        <v>63</v>
      </c>
      <c r="M16" s="11">
        <f>K16*D16*H16*I7*J16</f>
        <v>5.8880000000000008</v>
      </c>
      <c r="N16" s="10" t="s">
        <v>63</v>
      </c>
      <c r="O16" s="8">
        <f t="shared" si="1"/>
        <v>1.7823053458032974</v>
      </c>
      <c r="P16" s="9" t="s">
        <v>64</v>
      </c>
      <c r="Q16" s="8">
        <f>(K16*TAN(ACOS(F16)))*D16*H16*I7*J16</f>
        <v>2.851688553285276</v>
      </c>
      <c r="R16" s="9" t="s">
        <v>64</v>
      </c>
      <c r="S16" s="8">
        <f t="shared" si="0"/>
        <v>4.0888888888888886</v>
      </c>
      <c r="T16" s="9" t="s">
        <v>65</v>
      </c>
      <c r="U16" s="8">
        <f>S16*D16*H16*I7*J16</f>
        <v>6.5422222222222226</v>
      </c>
      <c r="V16" s="9" t="s">
        <v>65</v>
      </c>
      <c r="W16" s="15"/>
      <c r="X16" s="42"/>
      <c r="Y16" s="42"/>
      <c r="Z16" s="43"/>
    </row>
    <row r="17" spans="1:27" ht="15" customHeight="1" x14ac:dyDescent="0.25">
      <c r="A17" s="33" t="s">
        <v>36</v>
      </c>
      <c r="B17" s="33"/>
      <c r="C17" s="33"/>
      <c r="D17" s="21">
        <v>1</v>
      </c>
      <c r="E17" s="21"/>
      <c r="F17" s="21">
        <v>1</v>
      </c>
      <c r="G17" s="21"/>
      <c r="H17" s="6">
        <v>1</v>
      </c>
      <c r="I17" s="58"/>
      <c r="J17" s="6">
        <v>0.8</v>
      </c>
      <c r="K17" s="11">
        <v>14.1</v>
      </c>
      <c r="L17" s="10" t="s">
        <v>63</v>
      </c>
      <c r="M17" s="11">
        <f>K17*D17*H17*I7*J17</f>
        <v>11.280000000000001</v>
      </c>
      <c r="N17" s="10" t="s">
        <v>63</v>
      </c>
      <c r="O17" s="8">
        <f t="shared" si="1"/>
        <v>0</v>
      </c>
      <c r="P17" s="9" t="s">
        <v>64</v>
      </c>
      <c r="Q17" s="8">
        <f>(K17*TAN(ACOS(F17)))*D17*H17*I7*J17</f>
        <v>0</v>
      </c>
      <c r="R17" s="9" t="s">
        <v>64</v>
      </c>
      <c r="S17" s="8">
        <f>K17/F17</f>
        <v>14.1</v>
      </c>
      <c r="T17" s="9" t="s">
        <v>65</v>
      </c>
      <c r="U17" s="8">
        <f>S17*D17*H17*I7*J17</f>
        <v>11.280000000000001</v>
      </c>
      <c r="V17" s="9" t="s">
        <v>65</v>
      </c>
      <c r="W17" s="15"/>
      <c r="X17" s="26" t="s">
        <v>71</v>
      </c>
      <c r="Y17" s="27"/>
      <c r="Z17" s="23">
        <f>IF(Z15&gt;=10,0.6,IF(Z15&gt;=6,0.7,IF(Z15&lt;6,0.8)))</f>
        <v>0.6</v>
      </c>
    </row>
    <row r="18" spans="1:27" x14ac:dyDescent="0.25">
      <c r="S18" s="12"/>
      <c r="T18" s="13"/>
      <c r="W18" s="15"/>
      <c r="X18" s="28"/>
      <c r="Y18" s="29"/>
      <c r="Z18" s="24"/>
    </row>
    <row r="19" spans="1:27" ht="15" customHeight="1" x14ac:dyDescent="0.25">
      <c r="S19" s="12"/>
      <c r="T19" s="13"/>
      <c r="W19" s="15"/>
      <c r="X19" s="30"/>
      <c r="Y19" s="31"/>
      <c r="Z19" s="25"/>
    </row>
    <row r="20" spans="1:27" x14ac:dyDescent="0.25">
      <c r="S20" s="12"/>
      <c r="T20" s="13"/>
      <c r="W20" s="15"/>
      <c r="X20" s="41" t="s">
        <v>68</v>
      </c>
      <c r="Y20" s="36">
        <f>Y7*Z17</f>
        <v>21.037466666666671</v>
      </c>
      <c r="Z20" s="34" t="s">
        <v>63</v>
      </c>
      <c r="AA20" s="20">
        <f>Y20</f>
        <v>21.037466666666671</v>
      </c>
    </row>
    <row r="21" spans="1:27" ht="15" customHeight="1" x14ac:dyDescent="0.25">
      <c r="S21" s="12"/>
      <c r="T21" s="13"/>
      <c r="W21" s="15"/>
      <c r="X21" s="41"/>
      <c r="Y21" s="45"/>
      <c r="Z21" s="40"/>
    </row>
    <row r="22" spans="1:27" x14ac:dyDescent="0.25">
      <c r="S22" s="12"/>
      <c r="T22" s="13"/>
      <c r="W22" s="15"/>
      <c r="X22" s="41" t="s">
        <v>69</v>
      </c>
      <c r="Y22" s="36">
        <f>Y9*Z17</f>
        <v>6.7864039725199445</v>
      </c>
      <c r="Z22" s="34" t="s">
        <v>64</v>
      </c>
      <c r="AA22" s="20">
        <f>Y22</f>
        <v>6.7864039725199445</v>
      </c>
    </row>
    <row r="23" spans="1:27" ht="15" customHeight="1" x14ac:dyDescent="0.25">
      <c r="S23" s="12"/>
      <c r="T23" s="13"/>
      <c r="W23" s="15"/>
      <c r="X23" s="41"/>
      <c r="Y23" s="45"/>
      <c r="Z23" s="40"/>
    </row>
    <row r="24" spans="1:27" x14ac:dyDescent="0.25">
      <c r="W24" s="15"/>
      <c r="X24" s="41" t="s">
        <v>70</v>
      </c>
      <c r="Y24" s="36">
        <f>Y11*Z17</f>
        <v>22.576140350877193</v>
      </c>
      <c r="Z24" s="34" t="s">
        <v>65</v>
      </c>
      <c r="AA24" s="20">
        <f>Y24</f>
        <v>22.576140350877193</v>
      </c>
    </row>
    <row r="25" spans="1:27" ht="15" customHeight="1" x14ac:dyDescent="0.25">
      <c r="W25" s="16"/>
      <c r="X25" s="41"/>
      <c r="Y25" s="45"/>
      <c r="Z25" s="40"/>
    </row>
    <row r="27" spans="1:27" x14ac:dyDescent="0.25">
      <c r="Y27" s="20"/>
    </row>
  </sheetData>
  <mergeCells count="72">
    <mergeCell ref="Z17:Z19"/>
    <mergeCell ref="X22:X23"/>
    <mergeCell ref="Y22:Y23"/>
    <mergeCell ref="Z22:Z23"/>
    <mergeCell ref="X24:X25"/>
    <mergeCell ref="Y24:Y25"/>
    <mergeCell ref="Z24:Z25"/>
    <mergeCell ref="X20:X21"/>
    <mergeCell ref="Y20:Y21"/>
    <mergeCell ref="Z20:Z21"/>
    <mergeCell ref="X14:Z14"/>
    <mergeCell ref="A15:C15"/>
    <mergeCell ref="D15:E15"/>
    <mergeCell ref="F15:G15"/>
    <mergeCell ref="X15:Y16"/>
    <mergeCell ref="Z15:Z16"/>
    <mergeCell ref="A16:C16"/>
    <mergeCell ref="D16:E16"/>
    <mergeCell ref="F16:G16"/>
    <mergeCell ref="A17:C17"/>
    <mergeCell ref="D17:E17"/>
    <mergeCell ref="F17:G17"/>
    <mergeCell ref="X17:Y19"/>
    <mergeCell ref="A13:C13"/>
    <mergeCell ref="D13:E13"/>
    <mergeCell ref="F13:G13"/>
    <mergeCell ref="A14:C14"/>
    <mergeCell ref="D14:E14"/>
    <mergeCell ref="F14:G14"/>
    <mergeCell ref="A11:C11"/>
    <mergeCell ref="D11:E11"/>
    <mergeCell ref="F11:G11"/>
    <mergeCell ref="X11:X12"/>
    <mergeCell ref="Y11:Y12"/>
    <mergeCell ref="F9:G9"/>
    <mergeCell ref="X9:X10"/>
    <mergeCell ref="Y9:Y10"/>
    <mergeCell ref="Z9:Z10"/>
    <mergeCell ref="A10:C10"/>
    <mergeCell ref="D10:E10"/>
    <mergeCell ref="F10:G10"/>
    <mergeCell ref="X7:X8"/>
    <mergeCell ref="Y7:Y8"/>
    <mergeCell ref="Z7:Z8"/>
    <mergeCell ref="A8:C8"/>
    <mergeCell ref="D8:E8"/>
    <mergeCell ref="F8:G8"/>
    <mergeCell ref="A7:C7"/>
    <mergeCell ref="D7:E7"/>
    <mergeCell ref="F7:G7"/>
    <mergeCell ref="I7:I17"/>
    <mergeCell ref="A9:C9"/>
    <mergeCell ref="Z11:Z12"/>
    <mergeCell ref="A12:C12"/>
    <mergeCell ref="D12:E12"/>
    <mergeCell ref="F12:G12"/>
    <mergeCell ref="D9:E9"/>
    <mergeCell ref="A1:Z4"/>
    <mergeCell ref="A5:C6"/>
    <mergeCell ref="D5:E6"/>
    <mergeCell ref="F5:G6"/>
    <mergeCell ref="H5:J5"/>
    <mergeCell ref="K5:N5"/>
    <mergeCell ref="O5:R5"/>
    <mergeCell ref="S5:V5"/>
    <mergeCell ref="X5:Z6"/>
    <mergeCell ref="K6:L6"/>
    <mergeCell ref="M6:N6"/>
    <mergeCell ref="O6:P6"/>
    <mergeCell ref="Q6:R6"/>
    <mergeCell ref="S6:T6"/>
    <mergeCell ref="U6:V6"/>
  </mergeCells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1307-1472-4268-85F1-C3CE6D102ECB}">
  <sheetPr>
    <tabColor theme="2" tint="-0.749992370372631"/>
    <pageSetUpPr fitToPage="1"/>
  </sheetPr>
  <dimension ref="A1:AA27"/>
  <sheetViews>
    <sheetView tabSelected="1" topLeftCell="A3" zoomScale="70" zoomScaleNormal="70" workbookViewId="0">
      <selection activeCell="F13" sqref="F13"/>
    </sheetView>
  </sheetViews>
  <sheetFormatPr defaultRowHeight="15" x14ac:dyDescent="0.25"/>
  <cols>
    <col min="23" max="23" width="4.140625" customWidth="1"/>
    <col min="24" max="24" width="10.140625" customWidth="1"/>
    <col min="27" max="27" width="9.140625" hidden="1" customWidth="1"/>
  </cols>
  <sheetData>
    <row r="1" spans="1:26" ht="15" customHeight="1" x14ac:dyDescent="0.25">
      <c r="A1" s="47" t="s">
        <v>93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63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50" t="s">
        <v>2</v>
      </c>
      <c r="B5" s="51"/>
      <c r="C5" s="52"/>
      <c r="D5" s="50" t="s">
        <v>1</v>
      </c>
      <c r="E5" s="52"/>
      <c r="F5" s="42" t="s">
        <v>62</v>
      </c>
      <c r="G5" s="42"/>
      <c r="H5" s="48" t="s">
        <v>56</v>
      </c>
      <c r="I5" s="48"/>
      <c r="J5" s="48"/>
      <c r="K5" s="48" t="s">
        <v>66</v>
      </c>
      <c r="L5" s="48"/>
      <c r="M5" s="48"/>
      <c r="N5" s="48"/>
      <c r="O5" s="48" t="s">
        <v>67</v>
      </c>
      <c r="P5" s="48"/>
      <c r="Q5" s="48"/>
      <c r="R5" s="48"/>
      <c r="S5" s="48" t="s">
        <v>73</v>
      </c>
      <c r="T5" s="48"/>
      <c r="U5" s="48"/>
      <c r="V5" s="48"/>
      <c r="W5" s="7"/>
      <c r="X5" s="46" t="s">
        <v>72</v>
      </c>
      <c r="Y5" s="46"/>
      <c r="Z5" s="46"/>
    </row>
    <row r="6" spans="1:26" ht="94.5" customHeight="1" x14ac:dyDescent="0.25">
      <c r="A6" s="53"/>
      <c r="B6" s="54"/>
      <c r="C6" s="55"/>
      <c r="D6" s="53"/>
      <c r="E6" s="55"/>
      <c r="F6" s="42"/>
      <c r="G6" s="42"/>
      <c r="H6" s="2" t="s">
        <v>59</v>
      </c>
      <c r="I6" s="2" t="s">
        <v>60</v>
      </c>
      <c r="J6" s="3" t="s">
        <v>61</v>
      </c>
      <c r="K6" s="43" t="s">
        <v>54</v>
      </c>
      <c r="L6" s="43"/>
      <c r="M6" s="43" t="s">
        <v>55</v>
      </c>
      <c r="N6" s="43"/>
      <c r="O6" s="43" t="s">
        <v>54</v>
      </c>
      <c r="P6" s="43"/>
      <c r="Q6" s="43" t="s">
        <v>55</v>
      </c>
      <c r="R6" s="43"/>
      <c r="S6" s="43" t="s">
        <v>54</v>
      </c>
      <c r="T6" s="43"/>
      <c r="U6" s="43" t="s">
        <v>55</v>
      </c>
      <c r="V6" s="49"/>
      <c r="W6" s="14"/>
      <c r="X6" s="46"/>
      <c r="Y6" s="46"/>
      <c r="Z6" s="46"/>
    </row>
    <row r="7" spans="1:26" x14ac:dyDescent="0.25">
      <c r="A7" s="33" t="s">
        <v>47</v>
      </c>
      <c r="B7" s="33"/>
      <c r="C7" s="33"/>
      <c r="D7" s="21">
        <v>3</v>
      </c>
      <c r="E7" s="21"/>
      <c r="F7" s="21">
        <v>0.95</v>
      </c>
      <c r="G7" s="21"/>
      <c r="H7" s="5">
        <v>1</v>
      </c>
      <c r="I7" s="6">
        <v>3</v>
      </c>
      <c r="J7" s="6">
        <v>1</v>
      </c>
      <c r="K7" s="11">
        <f>22</f>
        <v>22</v>
      </c>
      <c r="L7" s="10" t="s">
        <v>63</v>
      </c>
      <c r="M7" s="11">
        <f>K7*D7*H7*I7*J7</f>
        <v>198</v>
      </c>
      <c r="N7" s="10" t="s">
        <v>63</v>
      </c>
      <c r="O7" s="8">
        <f>K7*TAN(ACOS(F7))</f>
        <v>7.2310503139349906</v>
      </c>
      <c r="P7" s="9" t="s">
        <v>64</v>
      </c>
      <c r="Q7" s="8">
        <f>(K7*TAN(ACOS(F7)))*D7*H7*I7*J7</f>
        <v>65.079452825414918</v>
      </c>
      <c r="R7" s="9" t="s">
        <v>64</v>
      </c>
      <c r="S7" s="8">
        <f t="shared" ref="S7" si="0">K7/F7</f>
        <v>23.157894736842106</v>
      </c>
      <c r="T7" s="9" t="s">
        <v>65</v>
      </c>
      <c r="U7" s="8">
        <f>S7*D7*H7*I7*J7</f>
        <v>208.42105263157896</v>
      </c>
      <c r="V7" s="9" t="s">
        <v>65</v>
      </c>
      <c r="W7" s="15"/>
      <c r="X7" s="32" t="s">
        <v>66</v>
      </c>
      <c r="Y7" s="36">
        <f>SUM(M7:M7)</f>
        <v>198</v>
      </c>
      <c r="Z7" s="34" t="s">
        <v>63</v>
      </c>
    </row>
    <row r="8" spans="1:26" x14ac:dyDescent="0.25">
      <c r="S8" s="12"/>
      <c r="T8" s="13"/>
      <c r="W8" s="15"/>
      <c r="X8" s="32"/>
      <c r="Y8" s="37"/>
      <c r="Z8" s="35"/>
    </row>
    <row r="9" spans="1:26" x14ac:dyDescent="0.25">
      <c r="S9" s="12"/>
      <c r="T9" s="13"/>
      <c r="W9" s="15"/>
      <c r="X9" s="32" t="s">
        <v>67</v>
      </c>
      <c r="Y9" s="36">
        <f>SUM(Q7:Q7)</f>
        <v>65.079452825414918</v>
      </c>
      <c r="Z9" s="34" t="s">
        <v>64</v>
      </c>
    </row>
    <row r="10" spans="1:26" x14ac:dyDescent="0.25">
      <c r="S10" s="12"/>
      <c r="T10" s="13"/>
      <c r="W10" s="15"/>
      <c r="X10" s="32"/>
      <c r="Y10" s="38"/>
      <c r="Z10" s="35"/>
    </row>
    <row r="11" spans="1:26" x14ac:dyDescent="0.25">
      <c r="S11" s="12"/>
      <c r="T11" s="13"/>
      <c r="W11" s="15"/>
      <c r="X11" s="32" t="s">
        <v>73</v>
      </c>
      <c r="Y11" s="36">
        <f>SUM(U7:U7)</f>
        <v>208.42105263157896</v>
      </c>
      <c r="Z11" s="34" t="s">
        <v>65</v>
      </c>
    </row>
    <row r="12" spans="1:26" x14ac:dyDescent="0.25">
      <c r="S12" s="12"/>
      <c r="T12" s="13"/>
      <c r="W12" s="15"/>
      <c r="X12" s="32"/>
      <c r="Y12" s="39"/>
      <c r="Z12" s="40"/>
    </row>
    <row r="13" spans="1:26" x14ac:dyDescent="0.25">
      <c r="S13" s="12"/>
      <c r="T13" s="13"/>
      <c r="W13" s="15"/>
      <c r="X13" s="1"/>
      <c r="Y13" s="1"/>
      <c r="Z13" s="17"/>
    </row>
    <row r="14" spans="1:26" x14ac:dyDescent="0.25">
      <c r="W14" s="15"/>
      <c r="X14" s="44" t="s">
        <v>92</v>
      </c>
      <c r="Y14" s="44"/>
      <c r="Z14" s="44"/>
    </row>
    <row r="15" spans="1:26" x14ac:dyDescent="0.25">
      <c r="W15" s="15"/>
      <c r="X15" s="42" t="s">
        <v>57</v>
      </c>
      <c r="Y15" s="42"/>
      <c r="Z15" s="43">
        <v>9</v>
      </c>
    </row>
    <row r="16" spans="1:26" x14ac:dyDescent="0.25">
      <c r="W16" s="15"/>
      <c r="X16" s="42"/>
      <c r="Y16" s="42"/>
      <c r="Z16" s="43"/>
    </row>
    <row r="17" spans="23:27" ht="15" customHeight="1" x14ac:dyDescent="0.25">
      <c r="W17" s="15"/>
      <c r="X17" s="26" t="s">
        <v>71</v>
      </c>
      <c r="Y17" s="27"/>
      <c r="Z17" s="23">
        <f>1</f>
        <v>1</v>
      </c>
    </row>
    <row r="18" spans="23:27" x14ac:dyDescent="0.25">
      <c r="W18" s="15"/>
      <c r="X18" s="28"/>
      <c r="Y18" s="29"/>
      <c r="Z18" s="24"/>
    </row>
    <row r="19" spans="23:27" ht="15" customHeight="1" x14ac:dyDescent="0.25">
      <c r="W19" s="15"/>
      <c r="X19" s="30"/>
      <c r="Y19" s="31"/>
      <c r="Z19" s="25"/>
    </row>
    <row r="20" spans="23:27" x14ac:dyDescent="0.25">
      <c r="W20" s="15"/>
      <c r="X20" s="41" t="s">
        <v>68</v>
      </c>
      <c r="Y20" s="36">
        <f>Y7*Z17</f>
        <v>198</v>
      </c>
      <c r="Z20" s="34" t="s">
        <v>63</v>
      </c>
      <c r="AA20" s="20">
        <f>Y20</f>
        <v>198</v>
      </c>
    </row>
    <row r="21" spans="23:27" ht="15" customHeight="1" x14ac:dyDescent="0.25">
      <c r="W21" s="15"/>
      <c r="X21" s="41"/>
      <c r="Y21" s="45"/>
      <c r="Z21" s="40"/>
    </row>
    <row r="22" spans="23:27" x14ac:dyDescent="0.25">
      <c r="W22" s="15"/>
      <c r="X22" s="41" t="s">
        <v>69</v>
      </c>
      <c r="Y22" s="36">
        <f>Y9*Z17</f>
        <v>65.079452825414918</v>
      </c>
      <c r="Z22" s="34" t="s">
        <v>64</v>
      </c>
      <c r="AA22" s="20">
        <f>Y22</f>
        <v>65.079452825414918</v>
      </c>
    </row>
    <row r="23" spans="23:27" ht="15" customHeight="1" x14ac:dyDescent="0.25">
      <c r="W23" s="15"/>
      <c r="X23" s="41"/>
      <c r="Y23" s="45"/>
      <c r="Z23" s="40"/>
    </row>
    <row r="24" spans="23:27" x14ac:dyDescent="0.25">
      <c r="W24" s="15"/>
      <c r="X24" s="41" t="s">
        <v>70</v>
      </c>
      <c r="Y24" s="36">
        <f>Y11*Z17</f>
        <v>208.42105263157896</v>
      </c>
      <c r="Z24" s="34" t="s">
        <v>65</v>
      </c>
      <c r="AA24" s="20">
        <f>Y24</f>
        <v>208.42105263157896</v>
      </c>
    </row>
    <row r="25" spans="23:27" ht="15" customHeight="1" x14ac:dyDescent="0.25">
      <c r="W25" s="16"/>
      <c r="X25" s="41"/>
      <c r="Y25" s="45"/>
      <c r="Z25" s="40"/>
    </row>
    <row r="27" spans="23:27" x14ac:dyDescent="0.25">
      <c r="Y27" s="20"/>
    </row>
  </sheetData>
  <mergeCells count="41">
    <mergeCell ref="X22:X23"/>
    <mergeCell ref="Y22:Y23"/>
    <mergeCell ref="Z22:Z23"/>
    <mergeCell ref="X24:X25"/>
    <mergeCell ref="Y24:Y25"/>
    <mergeCell ref="Z24:Z25"/>
    <mergeCell ref="X17:Y19"/>
    <mergeCell ref="Z17:Z19"/>
    <mergeCell ref="X20:X21"/>
    <mergeCell ref="Y20:Y21"/>
    <mergeCell ref="Z20:Z21"/>
    <mergeCell ref="X14:Z14"/>
    <mergeCell ref="X15:Y16"/>
    <mergeCell ref="Z15:Z16"/>
    <mergeCell ref="X11:X12"/>
    <mergeCell ref="Y11:Y12"/>
    <mergeCell ref="Z11:Z12"/>
    <mergeCell ref="S6:T6"/>
    <mergeCell ref="U6:V6"/>
    <mergeCell ref="X9:X10"/>
    <mergeCell ref="Y9:Y10"/>
    <mergeCell ref="Z9:Z10"/>
    <mergeCell ref="X7:X8"/>
    <mergeCell ref="Y7:Y8"/>
    <mergeCell ref="Z7:Z8"/>
    <mergeCell ref="A7:C7"/>
    <mergeCell ref="D7:E7"/>
    <mergeCell ref="F7:G7"/>
    <mergeCell ref="A1:Z4"/>
    <mergeCell ref="A5:C6"/>
    <mergeCell ref="D5:E6"/>
    <mergeCell ref="F5:G6"/>
    <mergeCell ref="H5:J5"/>
    <mergeCell ref="K5:N5"/>
    <mergeCell ref="O5:R5"/>
    <mergeCell ref="S5:V5"/>
    <mergeCell ref="X5:Z6"/>
    <mergeCell ref="K6:L6"/>
    <mergeCell ref="M6:N6"/>
    <mergeCell ref="O6:P6"/>
    <mergeCell ref="Q6:R6"/>
  </mergeCells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3B69-6181-475A-9D32-76C9415DAB18}">
  <sheetPr>
    <tabColor theme="2" tint="-0.749992370372631"/>
    <pageSetUpPr fitToPage="1"/>
  </sheetPr>
  <dimension ref="A1:Z25"/>
  <sheetViews>
    <sheetView zoomScale="70" zoomScaleNormal="70" workbookViewId="0">
      <selection activeCell="T21" sqref="T21"/>
    </sheetView>
  </sheetViews>
  <sheetFormatPr defaultRowHeight="15" x14ac:dyDescent="0.25"/>
  <cols>
    <col min="6" max="6" width="10.140625" customWidth="1"/>
    <col min="12" max="12" width="3.28515625" customWidth="1"/>
    <col min="14" max="14" width="19.5703125" bestFit="1" customWidth="1"/>
    <col min="16" max="16" width="0" hidden="1" customWidth="1"/>
    <col min="23" max="23" width="10" customWidth="1"/>
    <col min="24" max="24" width="10.140625" customWidth="1"/>
  </cols>
  <sheetData>
    <row r="1" spans="1:26" ht="15" customHeight="1" x14ac:dyDescent="0.25">
      <c r="A1" s="72" t="s">
        <v>80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63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" customHeight="1" x14ac:dyDescent="0.25">
      <c r="A5" s="50" t="s">
        <v>2</v>
      </c>
      <c r="B5" s="51"/>
      <c r="C5" s="52"/>
      <c r="D5" s="50" t="s">
        <v>1</v>
      </c>
      <c r="E5" s="52"/>
      <c r="F5" s="59" t="s">
        <v>66</v>
      </c>
      <c r="G5" s="60"/>
      <c r="H5" s="59" t="s">
        <v>67</v>
      </c>
      <c r="I5" s="60"/>
      <c r="J5" s="59" t="s">
        <v>73</v>
      </c>
      <c r="K5" s="60"/>
      <c r="L5" s="7"/>
      <c r="M5" s="50" t="s">
        <v>72</v>
      </c>
      <c r="N5" s="51"/>
      <c r="O5" s="52"/>
    </row>
    <row r="6" spans="1:26" ht="94.5" customHeight="1" x14ac:dyDescent="0.25">
      <c r="A6" s="53"/>
      <c r="B6" s="54"/>
      <c r="C6" s="55"/>
      <c r="D6" s="53"/>
      <c r="E6" s="55"/>
      <c r="F6" s="61"/>
      <c r="G6" s="62"/>
      <c r="H6" s="61"/>
      <c r="I6" s="62"/>
      <c r="J6" s="61"/>
      <c r="K6" s="62"/>
      <c r="L6" s="14"/>
      <c r="M6" s="53"/>
      <c r="N6" s="54"/>
      <c r="O6" s="55"/>
    </row>
    <row r="7" spans="1:26" x14ac:dyDescent="0.25">
      <c r="A7" s="65" t="s">
        <v>0</v>
      </c>
      <c r="B7" s="66"/>
      <c r="C7" s="67"/>
      <c r="D7" s="68">
        <v>1</v>
      </c>
      <c r="E7" s="69"/>
      <c r="F7" s="11">
        <f>'QP1'!AA20</f>
        <v>186.49866666666665</v>
      </c>
      <c r="G7" s="10" t="s">
        <v>63</v>
      </c>
      <c r="H7" s="11">
        <f>'QP1'!AA22</f>
        <v>112.97938462773702</v>
      </c>
      <c r="I7" s="10" t="s">
        <v>63</v>
      </c>
      <c r="J7" s="8">
        <f>'QP1'!AA24</f>
        <v>218.21333333333331</v>
      </c>
      <c r="K7" s="9" t="s">
        <v>64</v>
      </c>
      <c r="L7" s="15"/>
      <c r="M7" s="63" t="s">
        <v>66</v>
      </c>
      <c r="N7" s="36">
        <f>SUM(F7:F13)</f>
        <v>723.75114666666661</v>
      </c>
      <c r="O7" s="34" t="s">
        <v>63</v>
      </c>
    </row>
    <row r="8" spans="1:26" x14ac:dyDescent="0.25">
      <c r="A8" s="65" t="s">
        <v>11</v>
      </c>
      <c r="B8" s="66"/>
      <c r="C8" s="67"/>
      <c r="D8" s="68">
        <v>1</v>
      </c>
      <c r="E8" s="69"/>
      <c r="F8" s="11">
        <f>'QP2'!AA20</f>
        <v>214.02080000000001</v>
      </c>
      <c r="G8" s="10" t="s">
        <v>63</v>
      </c>
      <c r="H8" s="11">
        <f>'QP2'!AA22</f>
        <v>131.05092218533107</v>
      </c>
      <c r="I8" s="10" t="s">
        <v>63</v>
      </c>
      <c r="J8" s="8">
        <f>'QP2'!AA24</f>
        <v>251.02311111111109</v>
      </c>
      <c r="K8" s="9" t="s">
        <v>64</v>
      </c>
      <c r="L8" s="15"/>
      <c r="M8" s="64"/>
      <c r="N8" s="45"/>
      <c r="O8" s="40"/>
    </row>
    <row r="9" spans="1:26" x14ac:dyDescent="0.25">
      <c r="A9" s="65" t="s">
        <v>17</v>
      </c>
      <c r="B9" s="66"/>
      <c r="C9" s="67"/>
      <c r="D9" s="68">
        <v>1</v>
      </c>
      <c r="E9" s="69"/>
      <c r="F9" s="11">
        <f>'QP3'!AA20</f>
        <v>196.29440000000002</v>
      </c>
      <c r="G9" s="10" t="s">
        <v>63</v>
      </c>
      <c r="H9" s="11">
        <f>'QP3'!AA22</f>
        <v>120.11741329611196</v>
      </c>
      <c r="I9" s="10" t="s">
        <v>63</v>
      </c>
      <c r="J9" s="8">
        <f>'QP3'!AA24</f>
        <v>230.19377777777777</v>
      </c>
      <c r="K9" s="9" t="s">
        <v>64</v>
      </c>
      <c r="L9" s="15"/>
      <c r="M9" s="63" t="s">
        <v>67</v>
      </c>
      <c r="N9" s="36">
        <f>SUM(H7:H13)</f>
        <v>422.99377406020437</v>
      </c>
      <c r="O9" s="34" t="s">
        <v>64</v>
      </c>
    </row>
    <row r="10" spans="1:26" x14ac:dyDescent="0.25">
      <c r="A10" s="65" t="s">
        <v>18</v>
      </c>
      <c r="B10" s="66"/>
      <c r="C10" s="67"/>
      <c r="D10" s="68">
        <v>1</v>
      </c>
      <c r="E10" s="69"/>
      <c r="F10" s="11">
        <f>'QP4'!AA20</f>
        <v>67.673280000000005</v>
      </c>
      <c r="G10" s="10" t="s">
        <v>63</v>
      </c>
      <c r="H10" s="11">
        <f>'QP4'!AA22</f>
        <v>40.370317609679518</v>
      </c>
      <c r="I10" s="10" t="s">
        <v>63</v>
      </c>
      <c r="J10" s="8">
        <f>'QP4'!AA24</f>
        <v>78.857976470588227</v>
      </c>
      <c r="K10" s="9" t="s">
        <v>64</v>
      </c>
      <c r="L10" s="15"/>
      <c r="M10" s="64"/>
      <c r="N10" s="39"/>
      <c r="O10" s="40"/>
    </row>
    <row r="11" spans="1:26" x14ac:dyDescent="0.25">
      <c r="A11" s="65" t="s">
        <v>19</v>
      </c>
      <c r="B11" s="66"/>
      <c r="C11" s="67"/>
      <c r="D11" s="68">
        <v>1</v>
      </c>
      <c r="E11" s="69"/>
      <c r="F11" s="11">
        <f>'QP5'!AA20</f>
        <v>21.037466666666671</v>
      </c>
      <c r="G11" s="10" t="s">
        <v>63</v>
      </c>
      <c r="H11" s="11">
        <f>'QP5'!AA22</f>
        <v>6.7864039725199445</v>
      </c>
      <c r="I11" s="10" t="s">
        <v>63</v>
      </c>
      <c r="J11" s="8">
        <f>'QP5'!AA24</f>
        <v>22.576140350877193</v>
      </c>
      <c r="K11" s="9" t="s">
        <v>64</v>
      </c>
      <c r="L11" s="15"/>
      <c r="M11" s="63" t="s">
        <v>73</v>
      </c>
      <c r="N11" s="36">
        <f>SUM(J7:J13)</f>
        <v>841.73325132438924</v>
      </c>
      <c r="O11" s="34" t="s">
        <v>65</v>
      </c>
    </row>
    <row r="12" spans="1:26" x14ac:dyDescent="0.25">
      <c r="A12" s="65" t="s">
        <v>20</v>
      </c>
      <c r="B12" s="66"/>
      <c r="C12" s="67"/>
      <c r="D12" s="68">
        <v>1</v>
      </c>
      <c r="E12" s="69"/>
      <c r="F12" s="11">
        <f>'QP6'!AA20</f>
        <v>17.189066666666669</v>
      </c>
      <c r="G12" s="10" t="s">
        <v>63</v>
      </c>
      <c r="H12" s="11">
        <f>'QP6'!AA22</f>
        <v>4.9029283963049197</v>
      </c>
      <c r="I12" s="10" t="s">
        <v>63</v>
      </c>
      <c r="J12" s="8">
        <f>'QP6'!AA24</f>
        <v>18.292771929824561</v>
      </c>
      <c r="K12" s="9" t="s">
        <v>64</v>
      </c>
      <c r="L12" s="15"/>
      <c r="M12" s="64"/>
      <c r="N12" s="39"/>
      <c r="O12" s="40"/>
    </row>
    <row r="13" spans="1:26" x14ac:dyDescent="0.25">
      <c r="A13" s="65" t="s">
        <v>21</v>
      </c>
      <c r="B13" s="66"/>
      <c r="C13" s="67"/>
      <c r="D13" s="68">
        <v>1</v>
      </c>
      <c r="E13" s="69"/>
      <c r="F13" s="11">
        <f>'QP7'!AA20</f>
        <v>21.037466666666671</v>
      </c>
      <c r="G13" s="10" t="s">
        <v>63</v>
      </c>
      <c r="H13" s="11">
        <f>'QP7'!AA22</f>
        <v>6.7864039725199445</v>
      </c>
      <c r="I13" s="10" t="s">
        <v>63</v>
      </c>
      <c r="J13" s="8">
        <f>'QP7'!AA24</f>
        <v>22.576140350877193</v>
      </c>
      <c r="K13" s="9" t="s">
        <v>64</v>
      </c>
      <c r="L13" s="15"/>
      <c r="M13" s="1"/>
      <c r="N13" s="1"/>
      <c r="O13" s="17"/>
    </row>
    <row r="14" spans="1:26" x14ac:dyDescent="0.25">
      <c r="L14" s="15"/>
      <c r="M14" s="74" t="s">
        <v>89</v>
      </c>
      <c r="N14" s="75"/>
      <c r="O14" s="76"/>
    </row>
    <row r="15" spans="1:26" x14ac:dyDescent="0.25">
      <c r="L15" s="15"/>
      <c r="M15" s="26" t="s">
        <v>57</v>
      </c>
      <c r="N15" s="27"/>
      <c r="O15" s="23">
        <v>7</v>
      </c>
    </row>
    <row r="16" spans="1:26" x14ac:dyDescent="0.25">
      <c r="L16" s="15"/>
      <c r="M16" s="30"/>
      <c r="N16" s="31"/>
      <c r="O16" s="25"/>
    </row>
    <row r="17" spans="12:16" ht="15" customHeight="1" x14ac:dyDescent="0.25">
      <c r="L17" s="15"/>
      <c r="M17" s="26" t="s">
        <v>71</v>
      </c>
      <c r="N17" s="27"/>
      <c r="O17" s="23">
        <f>IF(O15&gt;=10,0.6,IF(O15&gt;=6,0.7,IF(O15&lt;6,0.8)))</f>
        <v>0.7</v>
      </c>
    </row>
    <row r="18" spans="12:16" x14ac:dyDescent="0.25">
      <c r="L18" s="15"/>
      <c r="M18" s="28"/>
      <c r="N18" s="29"/>
      <c r="O18" s="24"/>
    </row>
    <row r="19" spans="12:16" ht="15" customHeight="1" x14ac:dyDescent="0.25">
      <c r="L19" s="15"/>
      <c r="M19" s="30"/>
      <c r="N19" s="31"/>
      <c r="O19" s="25"/>
    </row>
    <row r="20" spans="12:16" x14ac:dyDescent="0.25">
      <c r="L20" s="15"/>
      <c r="M20" s="70" t="s">
        <v>68</v>
      </c>
      <c r="N20" s="36">
        <f>N7*O17</f>
        <v>506.62580266666657</v>
      </c>
      <c r="O20" s="34" t="s">
        <v>63</v>
      </c>
      <c r="P20" s="20">
        <f>N20</f>
        <v>506.62580266666657</v>
      </c>
    </row>
    <row r="21" spans="12:16" ht="15" customHeight="1" x14ac:dyDescent="0.25">
      <c r="L21" s="15"/>
      <c r="M21" s="71"/>
      <c r="N21" s="45"/>
      <c r="O21" s="40"/>
    </row>
    <row r="22" spans="12:16" x14ac:dyDescent="0.25">
      <c r="L22" s="15"/>
      <c r="M22" s="70" t="s">
        <v>69</v>
      </c>
      <c r="N22" s="36">
        <f>N9*O17</f>
        <v>296.09564184214304</v>
      </c>
      <c r="O22" s="34" t="s">
        <v>64</v>
      </c>
      <c r="P22" s="20">
        <f>N22</f>
        <v>296.09564184214304</v>
      </c>
    </row>
    <row r="23" spans="12:16" ht="15" customHeight="1" x14ac:dyDescent="0.25">
      <c r="L23" s="15"/>
      <c r="M23" s="71"/>
      <c r="N23" s="45"/>
      <c r="O23" s="40"/>
    </row>
    <row r="24" spans="12:16" x14ac:dyDescent="0.25">
      <c r="L24" s="15"/>
      <c r="M24" s="70" t="s">
        <v>70</v>
      </c>
      <c r="N24" s="36">
        <f>N11*O17</f>
        <v>589.21327592707246</v>
      </c>
      <c r="O24" s="34" t="s">
        <v>65</v>
      </c>
      <c r="P24" s="20">
        <f>N24</f>
        <v>589.21327592707246</v>
      </c>
    </row>
    <row r="25" spans="12:16" ht="15" customHeight="1" x14ac:dyDescent="0.25">
      <c r="L25" s="16"/>
      <c r="M25" s="71"/>
      <c r="N25" s="45"/>
      <c r="O25" s="40"/>
    </row>
  </sheetData>
  <mergeCells count="44">
    <mergeCell ref="M24:M25"/>
    <mergeCell ref="N24:N25"/>
    <mergeCell ref="O24:O25"/>
    <mergeCell ref="A1:O4"/>
    <mergeCell ref="J5:K6"/>
    <mergeCell ref="H5:I6"/>
    <mergeCell ref="M17:N19"/>
    <mergeCell ref="O17:O19"/>
    <mergeCell ref="M20:M21"/>
    <mergeCell ref="N20:N21"/>
    <mergeCell ref="O20:O21"/>
    <mergeCell ref="M22:M23"/>
    <mergeCell ref="N22:N23"/>
    <mergeCell ref="O22:O23"/>
    <mergeCell ref="M14:O14"/>
    <mergeCell ref="M15:N16"/>
    <mergeCell ref="O15:O16"/>
    <mergeCell ref="A13:C13"/>
    <mergeCell ref="D13:E13"/>
    <mergeCell ref="A11:C11"/>
    <mergeCell ref="D11:E11"/>
    <mergeCell ref="M11:M12"/>
    <mergeCell ref="N11:N12"/>
    <mergeCell ref="O11:O12"/>
    <mergeCell ref="A12:C12"/>
    <mergeCell ref="D12:E12"/>
    <mergeCell ref="D9:E9"/>
    <mergeCell ref="M9:M10"/>
    <mergeCell ref="N9:N10"/>
    <mergeCell ref="O9:O10"/>
    <mergeCell ref="A10:C10"/>
    <mergeCell ref="D10:E10"/>
    <mergeCell ref="A9:C9"/>
    <mergeCell ref="A5:C6"/>
    <mergeCell ref="D5:E6"/>
    <mergeCell ref="F5:G6"/>
    <mergeCell ref="M5:O6"/>
    <mergeCell ref="M7:M8"/>
    <mergeCell ref="N7:N8"/>
    <mergeCell ref="O7:O8"/>
    <mergeCell ref="A8:C8"/>
    <mergeCell ref="D8:E8"/>
    <mergeCell ref="A7:C7"/>
    <mergeCell ref="D7:E7"/>
  </mergeCells>
  <phoneticPr fontId="4" type="noConversion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6D39-8665-48A9-A450-24C8DE08772F}">
  <sheetPr>
    <tabColor theme="2" tint="-0.89999084444715716"/>
    <pageSetUpPr fitToPage="1"/>
  </sheetPr>
  <dimension ref="A1:Z25"/>
  <sheetViews>
    <sheetView topLeftCell="A4" zoomScale="70" zoomScaleNormal="70" workbookViewId="0">
      <selection activeCell="I23" sqref="I23"/>
    </sheetView>
  </sheetViews>
  <sheetFormatPr defaultRowHeight="15" x14ac:dyDescent="0.25"/>
  <cols>
    <col min="6" max="6" width="10.140625" customWidth="1"/>
    <col min="12" max="12" width="3.28515625" customWidth="1"/>
    <col min="14" max="14" width="19.5703125" bestFit="1" customWidth="1"/>
    <col min="23" max="23" width="10" customWidth="1"/>
    <col min="24" max="24" width="10.140625" customWidth="1"/>
  </cols>
  <sheetData>
    <row r="1" spans="1:26" ht="15" customHeight="1" x14ac:dyDescent="0.25">
      <c r="A1" s="72" t="s">
        <v>90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63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" customHeight="1" x14ac:dyDescent="0.25">
      <c r="A5" s="50" t="s">
        <v>2</v>
      </c>
      <c r="B5" s="51"/>
      <c r="C5" s="52"/>
      <c r="D5" s="50" t="s">
        <v>1</v>
      </c>
      <c r="E5" s="52"/>
      <c r="F5" s="59" t="s">
        <v>66</v>
      </c>
      <c r="G5" s="60"/>
      <c r="H5" s="59" t="s">
        <v>67</v>
      </c>
      <c r="I5" s="60"/>
      <c r="J5" s="59" t="s">
        <v>73</v>
      </c>
      <c r="K5" s="60"/>
      <c r="L5" s="7"/>
      <c r="M5" s="50" t="s">
        <v>72</v>
      </c>
      <c r="N5" s="51"/>
      <c r="O5" s="52"/>
    </row>
    <row r="6" spans="1:26" ht="94.5" customHeight="1" x14ac:dyDescent="0.25">
      <c r="A6" s="53"/>
      <c r="B6" s="54"/>
      <c r="C6" s="55"/>
      <c r="D6" s="53"/>
      <c r="E6" s="55"/>
      <c r="F6" s="61"/>
      <c r="G6" s="62"/>
      <c r="H6" s="61"/>
      <c r="I6" s="62"/>
      <c r="J6" s="61"/>
      <c r="K6" s="62"/>
      <c r="L6" s="14"/>
      <c r="M6" s="53"/>
      <c r="N6" s="54"/>
      <c r="O6" s="55"/>
    </row>
    <row r="7" spans="1:26" x14ac:dyDescent="0.25">
      <c r="A7" s="65" t="s">
        <v>16</v>
      </c>
      <c r="B7" s="66"/>
      <c r="C7" s="67"/>
      <c r="D7" s="68">
        <v>1</v>
      </c>
      <c r="E7" s="69"/>
      <c r="F7" s="11">
        <f>QGBT!P20</f>
        <v>506.62580266666657</v>
      </c>
      <c r="G7" s="10" t="s">
        <v>63</v>
      </c>
      <c r="H7" s="11">
        <f>QGBT!P22</f>
        <v>296.09564184214304</v>
      </c>
      <c r="I7" s="10" t="s">
        <v>63</v>
      </c>
      <c r="J7" s="8">
        <f>QGBT!P24</f>
        <v>589.21327592707246</v>
      </c>
      <c r="K7" s="9" t="s">
        <v>64</v>
      </c>
      <c r="L7" s="15"/>
      <c r="M7" s="63" t="s">
        <v>66</v>
      </c>
      <c r="N7" s="36">
        <f>SUM(F7:F8)</f>
        <v>704.62580266666657</v>
      </c>
      <c r="O7" s="34" t="s">
        <v>63</v>
      </c>
    </row>
    <row r="8" spans="1:26" x14ac:dyDescent="0.25">
      <c r="A8" s="65" t="s">
        <v>22</v>
      </c>
      <c r="B8" s="66"/>
      <c r="C8" s="67"/>
      <c r="D8" s="68">
        <v>1</v>
      </c>
      <c r="E8" s="69"/>
      <c r="F8" s="11">
        <f>QGM!AA20</f>
        <v>198</v>
      </c>
      <c r="G8" s="10" t="s">
        <v>63</v>
      </c>
      <c r="H8" s="11">
        <f>QGM!AA22</f>
        <v>65.079452825414918</v>
      </c>
      <c r="I8" s="10" t="s">
        <v>63</v>
      </c>
      <c r="J8" s="8">
        <f>QGM!AA24</f>
        <v>208.42105263157896</v>
      </c>
      <c r="K8" s="9" t="s">
        <v>64</v>
      </c>
      <c r="L8" s="15"/>
      <c r="M8" s="64"/>
      <c r="N8" s="45"/>
      <c r="O8" s="40"/>
    </row>
    <row r="9" spans="1:26" x14ac:dyDescent="0.25">
      <c r="L9" s="15"/>
      <c r="M9" s="63" t="s">
        <v>67</v>
      </c>
      <c r="N9" s="36">
        <f>SUM(H7:H8)</f>
        <v>361.17509466755797</v>
      </c>
      <c r="O9" s="34" t="s">
        <v>64</v>
      </c>
    </row>
    <row r="10" spans="1:26" x14ac:dyDescent="0.25">
      <c r="L10" s="15"/>
      <c r="M10" s="64"/>
      <c r="N10" s="39"/>
      <c r="O10" s="40"/>
    </row>
    <row r="11" spans="1:26" x14ac:dyDescent="0.25">
      <c r="L11" s="15"/>
      <c r="M11" s="63" t="s">
        <v>73</v>
      </c>
      <c r="N11" s="36">
        <f>SUM(J7:J8)</f>
        <v>797.63432855865142</v>
      </c>
      <c r="O11" s="34" t="s">
        <v>65</v>
      </c>
    </row>
    <row r="12" spans="1:26" x14ac:dyDescent="0.25">
      <c r="L12" s="15"/>
      <c r="M12" s="64"/>
      <c r="N12" s="39"/>
      <c r="O12" s="40"/>
    </row>
    <row r="13" spans="1:26" x14ac:dyDescent="0.25">
      <c r="L13" s="15"/>
      <c r="M13" s="1"/>
      <c r="N13" s="1"/>
      <c r="O13" s="17"/>
    </row>
    <row r="14" spans="1:26" x14ac:dyDescent="0.25">
      <c r="L14" s="15"/>
      <c r="M14" s="74" t="s">
        <v>91</v>
      </c>
      <c r="N14" s="75"/>
      <c r="O14" s="76"/>
    </row>
    <row r="15" spans="1:26" x14ac:dyDescent="0.25">
      <c r="L15" s="15"/>
      <c r="M15" s="26" t="s">
        <v>57</v>
      </c>
      <c r="N15" s="27"/>
      <c r="O15" s="23">
        <v>2</v>
      </c>
    </row>
    <row r="16" spans="1:26" x14ac:dyDescent="0.25">
      <c r="L16" s="15"/>
      <c r="M16" s="30"/>
      <c r="N16" s="31"/>
      <c r="O16" s="25"/>
    </row>
    <row r="17" spans="12:15" ht="15" customHeight="1" x14ac:dyDescent="0.25">
      <c r="L17" s="15"/>
      <c r="M17" s="26" t="s">
        <v>71</v>
      </c>
      <c r="N17" s="27"/>
      <c r="O17" s="23">
        <v>0.9</v>
      </c>
    </row>
    <row r="18" spans="12:15" x14ac:dyDescent="0.25">
      <c r="L18" s="15"/>
      <c r="M18" s="28"/>
      <c r="N18" s="29"/>
      <c r="O18" s="24"/>
    </row>
    <row r="19" spans="12:15" ht="15" customHeight="1" x14ac:dyDescent="0.25">
      <c r="L19" s="15"/>
      <c r="M19" s="30"/>
      <c r="N19" s="31"/>
      <c r="O19" s="25"/>
    </row>
    <row r="20" spans="12:15" x14ac:dyDescent="0.25">
      <c r="L20" s="15"/>
      <c r="M20" s="70" t="s">
        <v>68</v>
      </c>
      <c r="N20" s="36">
        <f>N7*O17</f>
        <v>634.16322239999988</v>
      </c>
      <c r="O20" s="34" t="s">
        <v>63</v>
      </c>
    </row>
    <row r="21" spans="12:15" ht="15" customHeight="1" x14ac:dyDescent="0.25">
      <c r="L21" s="15"/>
      <c r="M21" s="71"/>
      <c r="N21" s="45"/>
      <c r="O21" s="40"/>
    </row>
    <row r="22" spans="12:15" x14ac:dyDescent="0.25">
      <c r="L22" s="15"/>
      <c r="M22" s="70" t="s">
        <v>69</v>
      </c>
      <c r="N22" s="36">
        <f>N9*O17</f>
        <v>325.05758520080218</v>
      </c>
      <c r="O22" s="34" t="s">
        <v>64</v>
      </c>
    </row>
    <row r="23" spans="12:15" ht="15" customHeight="1" x14ac:dyDescent="0.25">
      <c r="L23" s="15"/>
      <c r="M23" s="71"/>
      <c r="N23" s="45"/>
      <c r="O23" s="40"/>
    </row>
    <row r="24" spans="12:15" x14ac:dyDescent="0.25">
      <c r="L24" s="15"/>
      <c r="M24" s="70" t="s">
        <v>70</v>
      </c>
      <c r="N24" s="36">
        <f>N11*O17</f>
        <v>717.87089570278624</v>
      </c>
      <c r="O24" s="34" t="s">
        <v>65</v>
      </c>
    </row>
    <row r="25" spans="12:15" ht="15" customHeight="1" x14ac:dyDescent="0.25">
      <c r="L25" s="16"/>
      <c r="M25" s="71"/>
      <c r="N25" s="45"/>
      <c r="O25" s="40"/>
    </row>
  </sheetData>
  <mergeCells count="34">
    <mergeCell ref="M24:M25"/>
    <mergeCell ref="N24:N25"/>
    <mergeCell ref="O24:O25"/>
    <mergeCell ref="M20:M21"/>
    <mergeCell ref="N20:N21"/>
    <mergeCell ref="O20:O21"/>
    <mergeCell ref="M22:M23"/>
    <mergeCell ref="N22:N23"/>
    <mergeCell ref="O22:O23"/>
    <mergeCell ref="M14:O14"/>
    <mergeCell ref="M15:N16"/>
    <mergeCell ref="O15:O16"/>
    <mergeCell ref="M17:N19"/>
    <mergeCell ref="O17:O19"/>
    <mergeCell ref="M11:M12"/>
    <mergeCell ref="N11:N12"/>
    <mergeCell ref="O11:O12"/>
    <mergeCell ref="M9:M10"/>
    <mergeCell ref="N9:N10"/>
    <mergeCell ref="O9:O10"/>
    <mergeCell ref="A7:C7"/>
    <mergeCell ref="D7:E7"/>
    <mergeCell ref="M7:M8"/>
    <mergeCell ref="N7:N8"/>
    <mergeCell ref="O7:O8"/>
    <mergeCell ref="A8:C8"/>
    <mergeCell ref="D8:E8"/>
    <mergeCell ref="A1:O4"/>
    <mergeCell ref="A5:C6"/>
    <mergeCell ref="D5:E6"/>
    <mergeCell ref="F5:G6"/>
    <mergeCell ref="H5:I6"/>
    <mergeCell ref="J5:K6"/>
    <mergeCell ref="M5:O6"/>
  </mergeCells>
  <pageMargins left="0.7" right="0.7" top="0.75" bottom="0.75" header="0.3" footer="0.3"/>
  <pageSetup paperSize="9"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2C471C-4B87-4D40-A440-C7FC948EDA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QP1</vt:lpstr>
      <vt:lpstr>QP2</vt:lpstr>
      <vt:lpstr>QP3</vt:lpstr>
      <vt:lpstr>QP4</vt:lpstr>
      <vt:lpstr>QP5</vt:lpstr>
      <vt:lpstr>QP6</vt:lpstr>
      <vt:lpstr>QP7</vt:lpstr>
      <vt:lpstr>QGM</vt:lpstr>
      <vt:lpstr>QGBT</vt:lpstr>
      <vt:lpstr>QPT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Figueira</dc:creator>
  <cp:lastModifiedBy>Gonçalo Figueira</cp:lastModifiedBy>
  <cp:lastPrinted>2022-11-19T17:00:08Z</cp:lastPrinted>
  <dcterms:created xsi:type="dcterms:W3CDTF">2015-06-05T18:17:20Z</dcterms:created>
  <dcterms:modified xsi:type="dcterms:W3CDTF">2022-12-16T22:34:05Z</dcterms:modified>
</cp:coreProperties>
</file>